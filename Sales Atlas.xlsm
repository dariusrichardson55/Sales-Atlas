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wscac-my.sharepoint.com/personal/darius_richardson55_wsc_ac_uk/Documents/Unit 42 Spreadsheet Modelling/"/>
    </mc:Choice>
  </mc:AlternateContent>
  <bookViews>
    <workbookView minimized="1" xWindow="0" yWindow="465" windowWidth="28800" windowHeight="12585" tabRatio="625" activeTab="2"/>
  </bookViews>
  <sheets>
    <sheet name="Menu" sheetId="15" r:id="rId1"/>
    <sheet name="Sales old" sheetId="4" r:id="rId2"/>
    <sheet name="Sales" sheetId="2" r:id="rId3"/>
    <sheet name="Scenario Summary" sheetId="11" r:id="rId4"/>
    <sheet name="Summary" sheetId="9" r:id="rId5"/>
    <sheet name="Discount" sheetId="8" r:id="rId6"/>
    <sheet name="Products" sheetId="5" r:id="rId7"/>
    <sheet name="Customer" sheetId="7" r:id="rId8"/>
    <sheet name="Tables and Graphs" sheetId="13" r:id="rId9"/>
    <sheet name="Invoice" sheetId="14" r:id="rId10"/>
  </sheets>
  <definedNames>
    <definedName name="_xlnm._FilterDatabase" localSheetId="2" hidden="1">Sales!$A$1:$H$61</definedName>
    <definedName name="_xlnm.Criteria" localSheetId="2">Sales!$F$9:$F$14</definedName>
    <definedName name="Customer">Sales!$C:$C</definedName>
    <definedName name="Customer_lookup">Customer!$A$1:$B$8</definedName>
    <definedName name="Customer_seller">Discount!$A$1:$B$4</definedName>
    <definedName name="Customer_Table">#REF!</definedName>
    <definedName name="Customer_type">Sales!$D:$D</definedName>
    <definedName name="Discounts_Lookup_Table">Discount!$A:$B</definedName>
    <definedName name="Invoice_Date">Sales!$A:$A</definedName>
    <definedName name="Invoice_Number">Sales!$B:$B</definedName>
    <definedName name="Product">Sales!$E:$E</definedName>
    <definedName name="Product_table">Products!$A$1:$C$4</definedName>
    <definedName name="Products_Lookup_Table">Products!$A$1:$C$4</definedName>
    <definedName name="Quantity">Sales!$F:$F</definedName>
    <definedName name="Retail_Price">Sales!$G:$G</definedName>
    <definedName name="Sales_Price">Sales!$H:$H</definedName>
  </definedNames>
  <calcPr calcId="152511"/>
  <pivotCaches>
    <pivotCache cacheId="4" r:id="rId11"/>
    <pivotCache cacheId="5" r:id="rId12"/>
    <pivotCache cacheId="6" r:id="rId13"/>
    <pivotCache cacheId="7" r:id="rId1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2" l="1"/>
  <c r="G46" i="2"/>
  <c r="D46" i="2"/>
  <c r="H46" i="2"/>
  <c r="J6" i="14"/>
  <c r="A43" i="14"/>
  <c r="M5" i="14"/>
  <c r="J4" i="14"/>
  <c r="F5" i="9"/>
  <c r="B5" i="9"/>
  <c r="G4" i="9"/>
  <c r="G3" i="9"/>
  <c r="G2" i="9"/>
  <c r="G5" i="9"/>
  <c r="G61" i="2"/>
  <c r="D61" i="2"/>
  <c r="G60" i="2"/>
  <c r="D60" i="2"/>
  <c r="G59" i="2"/>
  <c r="D59" i="2"/>
  <c r="H59" i="2"/>
  <c r="G58" i="2"/>
  <c r="D58" i="2"/>
  <c r="H58" i="2"/>
  <c r="G57" i="2"/>
  <c r="D57" i="2"/>
  <c r="H57" i="2"/>
  <c r="G56" i="2"/>
  <c r="D56" i="2"/>
  <c r="H56" i="2"/>
  <c r="G55" i="2"/>
  <c r="D55" i="2"/>
  <c r="H55" i="2"/>
  <c r="G54" i="2"/>
  <c r="D54" i="2"/>
  <c r="H54" i="2"/>
  <c r="G53" i="2"/>
  <c r="D53" i="2"/>
  <c r="G52" i="2"/>
  <c r="D52" i="2"/>
  <c r="G51" i="2"/>
  <c r="D51" i="2"/>
  <c r="G50" i="2"/>
  <c r="D50" i="2"/>
  <c r="H50" i="2"/>
  <c r="G49" i="2"/>
  <c r="D49" i="2"/>
  <c r="H49" i="2"/>
  <c r="G48" i="2"/>
  <c r="D48" i="2"/>
  <c r="H48" i="2"/>
  <c r="G47" i="2"/>
  <c r="D47" i="2"/>
  <c r="H47" i="2"/>
  <c r="G45" i="2"/>
  <c r="D45" i="2"/>
  <c r="G44" i="2"/>
  <c r="D44" i="2"/>
  <c r="G43" i="2"/>
  <c r="D43" i="2"/>
  <c r="G42" i="2"/>
  <c r="D42" i="2"/>
  <c r="H42" i="2"/>
  <c r="G41" i="2"/>
  <c r="D41" i="2"/>
  <c r="H41" i="2"/>
  <c r="G40" i="2"/>
  <c r="D40" i="2"/>
  <c r="H40" i="2"/>
  <c r="G39" i="2"/>
  <c r="D39" i="2"/>
  <c r="H39" i="2"/>
  <c r="G38" i="2"/>
  <c r="D38" i="2"/>
  <c r="H38" i="2"/>
  <c r="G37" i="2"/>
  <c r="D37" i="2"/>
  <c r="G36" i="2"/>
  <c r="D36" i="2"/>
  <c r="G35" i="2"/>
  <c r="D35" i="2"/>
  <c r="G34" i="2"/>
  <c r="D34" i="2"/>
  <c r="H34" i="2"/>
  <c r="G33" i="2"/>
  <c r="D33" i="2"/>
  <c r="H33" i="2"/>
  <c r="G32" i="2"/>
  <c r="D32" i="2"/>
  <c r="H32" i="2"/>
  <c r="G31" i="2"/>
  <c r="D31" i="2"/>
  <c r="H31" i="2"/>
  <c r="G30" i="2"/>
  <c r="D30" i="2"/>
  <c r="H30" i="2"/>
  <c r="G29" i="2"/>
  <c r="D29" i="2"/>
  <c r="G28" i="2"/>
  <c r="D28" i="2"/>
  <c r="G27" i="2"/>
  <c r="D27" i="2"/>
  <c r="G26" i="2"/>
  <c r="D26" i="2"/>
  <c r="H26" i="2"/>
  <c r="G25" i="2"/>
  <c r="D25" i="2"/>
  <c r="H25" i="2"/>
  <c r="G24" i="2"/>
  <c r="D24" i="2"/>
  <c r="H24" i="2"/>
  <c r="G23" i="2"/>
  <c r="D23" i="2"/>
  <c r="H23" i="2"/>
  <c r="G22" i="2"/>
  <c r="D22" i="2"/>
  <c r="H22" i="2"/>
  <c r="G21" i="2"/>
  <c r="D21" i="2"/>
  <c r="G20" i="2"/>
  <c r="D20" i="2"/>
  <c r="G19" i="2"/>
  <c r="D19" i="2"/>
  <c r="G18" i="2"/>
  <c r="D18" i="2"/>
  <c r="H18" i="2"/>
  <c r="G17" i="2"/>
  <c r="D17" i="2"/>
  <c r="H17" i="2"/>
  <c r="G16" i="2"/>
  <c r="D16" i="2"/>
  <c r="H16" i="2"/>
  <c r="G15" i="2"/>
  <c r="D15" i="2"/>
  <c r="H15" i="2"/>
  <c r="G14" i="2"/>
  <c r="D14" i="2"/>
  <c r="H14" i="2"/>
  <c r="G13" i="2"/>
  <c r="D13" i="2"/>
  <c r="G12" i="2"/>
  <c r="D12" i="2"/>
  <c r="G11" i="2"/>
  <c r="D11" i="2"/>
  <c r="G10" i="2"/>
  <c r="D10" i="2"/>
  <c r="H10" i="2"/>
  <c r="G9" i="2"/>
  <c r="D9" i="2"/>
  <c r="H9" i="2"/>
  <c r="J7" i="14"/>
  <c r="J37" i="14"/>
  <c r="G8" i="2"/>
  <c r="H8" i="2"/>
  <c r="G7" i="2"/>
  <c r="D7" i="2"/>
  <c r="H7" i="2"/>
  <c r="G6" i="2"/>
  <c r="D6" i="2"/>
  <c r="E4" i="9"/>
  <c r="G5" i="2"/>
  <c r="D5" i="2"/>
  <c r="G4" i="2"/>
  <c r="D4" i="2"/>
  <c r="D2" i="2"/>
  <c r="E2" i="9"/>
  <c r="G3" i="2"/>
  <c r="D3" i="2"/>
  <c r="E3" i="9"/>
  <c r="G2" i="2"/>
  <c r="H2" i="2"/>
  <c r="H6" i="2"/>
  <c r="C4" i="9"/>
  <c r="J19" i="14"/>
  <c r="C2" i="9"/>
  <c r="H3" i="2"/>
  <c r="H4" i="2"/>
  <c r="H5" i="2"/>
  <c r="D4" i="9"/>
  <c r="D3" i="9"/>
  <c r="H11" i="2"/>
  <c r="H12" i="2"/>
  <c r="H13" i="2"/>
  <c r="H19" i="2"/>
  <c r="H20" i="2"/>
  <c r="H21" i="2"/>
  <c r="H27" i="2"/>
  <c r="H28" i="2"/>
  <c r="H29" i="2"/>
  <c r="H35" i="2"/>
  <c r="H36" i="2"/>
  <c r="H37" i="2"/>
  <c r="H43" i="2"/>
  <c r="H44" i="2"/>
  <c r="H45" i="2"/>
  <c r="H51" i="2"/>
  <c r="H52" i="2"/>
  <c r="H53" i="2"/>
  <c r="H60" i="2"/>
  <c r="H61" i="2"/>
  <c r="E5" i="9"/>
  <c r="H18" i="14"/>
  <c r="D2" i="9"/>
  <c r="C3" i="9"/>
  <c r="A18" i="14"/>
  <c r="C18" i="14"/>
  <c r="A19" i="14"/>
  <c r="C19" i="14"/>
  <c r="H19" i="14"/>
  <c r="J18" i="14"/>
  <c r="H4" i="9"/>
  <c r="D5" i="9"/>
  <c r="H3" i="9"/>
  <c r="K36" i="14"/>
  <c r="K38" i="14"/>
  <c r="K39" i="14"/>
  <c r="K41" i="14"/>
  <c r="C5" i="9"/>
  <c r="H2" i="9"/>
  <c r="H5" i="9"/>
</calcChain>
</file>

<file path=xl/sharedStrings.xml><?xml version="1.0" encoding="utf-8"?>
<sst xmlns="http://schemas.openxmlformats.org/spreadsheetml/2006/main" count="408" uniqueCount="91">
  <si>
    <t>A1</t>
  </si>
  <si>
    <t>Dragon</t>
  </si>
  <si>
    <t>A3</t>
  </si>
  <si>
    <t>A2</t>
  </si>
  <si>
    <t>Metcalfe Ltd</t>
  </si>
  <si>
    <t>Web sale</t>
  </si>
  <si>
    <t>Ballams</t>
  </si>
  <si>
    <t>Gardners</t>
  </si>
  <si>
    <t>TES</t>
  </si>
  <si>
    <t>Smiths</t>
  </si>
  <si>
    <t>Quantity</t>
  </si>
  <si>
    <t>Product</t>
  </si>
  <si>
    <t>Customer</t>
  </si>
  <si>
    <t>Invoice Number</t>
  </si>
  <si>
    <t>Invoice Date</t>
  </si>
  <si>
    <t>Type</t>
  </si>
  <si>
    <t>Customer Type</t>
  </si>
  <si>
    <t>Retail Price</t>
  </si>
  <si>
    <t xml:space="preserve">Sales Price </t>
  </si>
  <si>
    <t>Name</t>
  </si>
  <si>
    <t>Wholesaler</t>
  </si>
  <si>
    <t>Retailer</t>
  </si>
  <si>
    <t>Direct</t>
  </si>
  <si>
    <t>Deluxe Edition</t>
  </si>
  <si>
    <t>Standard Edition</t>
  </si>
  <si>
    <t>Economy Edition</t>
  </si>
  <si>
    <t>Discription</t>
  </si>
  <si>
    <t>Product Name</t>
  </si>
  <si>
    <t>Prices</t>
  </si>
  <si>
    <t>Discount</t>
  </si>
  <si>
    <t>Units sold</t>
  </si>
  <si>
    <t>Units retailers</t>
  </si>
  <si>
    <t>Unit Direct</t>
  </si>
  <si>
    <t>Units wholesalers</t>
  </si>
  <si>
    <t>Price</t>
  </si>
  <si>
    <t>Sales without discount</t>
  </si>
  <si>
    <t>Sales with discount</t>
  </si>
  <si>
    <t>Total</t>
  </si>
  <si>
    <t>Case1</t>
  </si>
  <si>
    <t>Case2</t>
  </si>
  <si>
    <t>Case3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</si>
  <si>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</si>
  <si>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</si>
  <si>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</si>
  <si>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</si>
  <si>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</si>
  <si>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</si>
  <si>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</si>
  <si>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Created by Darius Richardson55 on 23/03/2016
Modified by Darius Richardson55 on 23/03/2016</t>
  </si>
  <si>
    <t xml:space="preserve">  </t>
  </si>
  <si>
    <t xml:space="preserve"> </t>
  </si>
  <si>
    <t>Products</t>
  </si>
  <si>
    <t xml:space="preserve">    </t>
  </si>
  <si>
    <t>Grand Total</t>
  </si>
  <si>
    <t>Quantity (#)</t>
  </si>
  <si>
    <t>Quantity (%)</t>
  </si>
  <si>
    <t xml:space="preserve"> Retail Price (£)</t>
  </si>
  <si>
    <t xml:space="preserve">Sales Price (%) </t>
  </si>
  <si>
    <t/>
  </si>
  <si>
    <t>Sep</t>
  </si>
  <si>
    <t>Oct</t>
  </si>
  <si>
    <t>Nov</t>
  </si>
  <si>
    <t>Sales per month</t>
  </si>
  <si>
    <t>Months</t>
  </si>
  <si>
    <t>Atlas Publications</t>
  </si>
  <si>
    <t>Invoice</t>
  </si>
  <si>
    <t>My company slogan</t>
  </si>
  <si>
    <t>Date:</t>
  </si>
  <si>
    <t>Invoice #:</t>
  </si>
  <si>
    <t>Customer:</t>
  </si>
  <si>
    <t>Bill To:</t>
  </si>
  <si>
    <t>[Company Name]</t>
  </si>
  <si>
    <t>[Street Address]</t>
  </si>
  <si>
    <t xml:space="preserve">[City, County] </t>
  </si>
  <si>
    <t>[PostCode]</t>
  </si>
  <si>
    <t>[Phone]</t>
  </si>
  <si>
    <t>Description</t>
  </si>
  <si>
    <t>Line Total</t>
  </si>
  <si>
    <t>Special Notes and Instructions</t>
  </si>
  <si>
    <t>Subtotal</t>
  </si>
  <si>
    <t>£</t>
  </si>
  <si>
    <t>Sales Price</t>
  </si>
  <si>
    <t>VAT</t>
  </si>
  <si>
    <t>Thank you for your business!</t>
  </si>
  <si>
    <t>Tel: 0-000-000-0000 Fax: 0-000-000-0000 E-mail: info@yourcompanysite.com Web: www.yourcompanysite.com</t>
  </si>
  <si>
    <t>Row</t>
  </si>
  <si>
    <t>Column Labels</t>
  </si>
  <si>
    <t>Sum of Quantity</t>
  </si>
  <si>
    <t xml:space="preserve">Sum of Sales Price </t>
  </si>
  <si>
    <t>Days</t>
  </si>
  <si>
    <t>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</si>
</sst>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£&quot;* #,##0.00_-;\-&quot;£&quot;* #,##0.00_-;_-&quot;£&quot;* &quot;-&quot;??_-;_-@_-"/>
    <numFmt numFmtId="164" formatCode="_(* #,##0.00_);_(* \(#,##0.00\);_(* &quot;-&quot;??_);_(@_)"/>
    <numFmt numFmtId="165" formatCode="&quot;£&quot;#,##0.00"/>
    <numFmt numFmtId="166" formatCode=";;;"/>
    <numFmt numFmtId="167" formatCode="[$-409]mmmm\ d\,\ yyyy;@"/>
    <numFmt numFmtId="168" formatCode="%* #,##0.00_)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4"/>
      <name val="Arial"/>
      <family val="2"/>
    </font>
    <font>
      <b/>
      <sz val="12"/>
      <color indexed="55"/>
      <name val="Arial"/>
      <family val="2"/>
    </font>
    <font>
      <b/>
      <sz val="24"/>
      <color indexed="1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7.5"/>
      <name val="Arial"/>
      <family val="2"/>
    </font>
    <font>
      <sz val="8"/>
      <color indexed="18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8"/>
      <name val="Arial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9"/>
      </bottom>
      <diagonal/>
    </border>
    <border>
      <left/>
      <right style="thin">
        <color indexed="55"/>
      </right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55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55"/>
      </right>
      <top style="thin">
        <color indexed="9"/>
      </top>
      <bottom style="thin">
        <color indexed="9"/>
      </bottom>
      <diagonal/>
    </border>
    <border>
      <left style="thin">
        <color indexed="55"/>
      </left>
      <right/>
      <top style="thin">
        <color indexed="9"/>
      </top>
      <bottom style="thin">
        <color indexed="55"/>
      </bottom>
      <diagonal/>
    </border>
    <border>
      <left/>
      <right/>
      <top style="thin">
        <color indexed="9"/>
      </top>
      <bottom style="thin">
        <color indexed="55"/>
      </bottom>
      <diagonal/>
    </border>
    <border>
      <left/>
      <right style="thin">
        <color indexed="55"/>
      </right>
      <top style="thin">
        <color indexed="9"/>
      </top>
      <bottom style="thin">
        <color indexed="55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55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55"/>
      </left>
      <right/>
      <top style="thin">
        <color indexed="55"/>
      </top>
      <bottom style="thin">
        <color indexed="9"/>
      </bottom>
      <diagonal/>
    </border>
    <border>
      <left/>
      <right/>
      <top style="thin">
        <color indexed="55"/>
      </top>
      <bottom style="thin">
        <color indexed="9"/>
      </bottom>
      <diagonal/>
    </border>
    <border>
      <left/>
      <right style="thin">
        <color indexed="55"/>
      </right>
      <top style="thin">
        <color indexed="55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hair">
        <color indexed="18"/>
      </bottom>
      <diagonal/>
    </border>
    <border>
      <left/>
      <right/>
      <top style="thin">
        <color indexed="9"/>
      </top>
      <bottom style="hair">
        <color indexed="18"/>
      </bottom>
      <diagonal/>
    </border>
    <border>
      <left/>
      <right style="thin">
        <color indexed="9"/>
      </right>
      <top style="thin">
        <color indexed="9"/>
      </top>
      <bottom style="hair">
        <color indexed="18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73">
    <xf numFmtId="0" fontId="0" fillId="0" borderId="0" xfId="0"/>
    <xf numFmtId="0" fontId="3" fillId="0" borderId="0" xfId="0" applyFont="1" applyBorder="1" applyAlignment="1">
      <alignment vertical="center"/>
    </xf>
    <xf numFmtId="0" fontId="0" fillId="0" borderId="0" xfId="0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0" fillId="0" borderId="8" xfId="0" applyFill="1" applyBorder="1" applyAlignment="1"/>
    <xf numFmtId="0" fontId="6" fillId="3" borderId="0" xfId="0" applyFont="1" applyFill="1" applyBorder="1" applyAlignment="1">
      <alignment horizontal="left"/>
    </xf>
    <xf numFmtId="0" fontId="7" fillId="3" borderId="8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/>
    </xf>
    <xf numFmtId="0" fontId="8" fillId="2" borderId="5" xfId="0" applyFont="1" applyFill="1" applyBorder="1" applyAlignment="1">
      <alignment horizontal="right"/>
    </xf>
    <xf numFmtId="0" fontId="8" fillId="2" borderId="7" xfId="0" applyFont="1" applyFill="1" applyBorder="1" applyAlignment="1">
      <alignment horizontal="right"/>
    </xf>
    <xf numFmtId="0" fontId="0" fillId="4" borderId="0" xfId="0" applyFill="1" applyBorder="1" applyAlignment="1"/>
    <xf numFmtId="0" fontId="9" fillId="0" borderId="0" xfId="0" applyFont="1" applyFill="1" applyBorder="1" applyAlignment="1">
      <alignment vertical="top" wrapText="1"/>
    </xf>
    <xf numFmtId="44" fontId="0" fillId="0" borderId="0" xfId="0" applyNumberFormat="1" applyFill="1" applyBorder="1" applyAlignment="1"/>
    <xf numFmtId="44" fontId="0" fillId="0" borderId="6" xfId="0" applyNumberFormat="1" applyFill="1" applyBorder="1" applyAlignment="1"/>
    <xf numFmtId="0" fontId="1" fillId="5" borderId="8" xfId="0" applyFont="1" applyFill="1" applyBorder="1" applyAlignment="1"/>
    <xf numFmtId="0" fontId="0" fillId="5" borderId="0" xfId="0" applyFill="1" applyBorder="1" applyAlignment="1"/>
    <xf numFmtId="0" fontId="0" fillId="5" borderId="8" xfId="0" applyFill="1" applyBorder="1" applyAlignment="1"/>
    <xf numFmtId="44" fontId="0" fillId="5" borderId="0" xfId="0" applyNumberFormat="1" applyFill="1" applyBorder="1" applyAlignment="1"/>
    <xf numFmtId="44" fontId="0" fillId="5" borderId="6" xfId="0" applyNumberFormat="1" applyFill="1" applyBorder="1" applyAlignment="1"/>
    <xf numFmtId="0" fontId="0" fillId="0" borderId="0" xfId="0" applyProtection="1">
      <protection locked="0"/>
    </xf>
    <xf numFmtId="166" fontId="0" fillId="0" borderId="0" xfId="0" applyNumberFormat="1"/>
    <xf numFmtId="166" fontId="1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44" fontId="0" fillId="0" borderId="0" xfId="0" applyNumberFormat="1"/>
    <xf numFmtId="0" fontId="1" fillId="0" borderId="0" xfId="0" applyFont="1"/>
    <xf numFmtId="14" fontId="0" fillId="0" borderId="0" xfId="0" applyNumberFormat="1"/>
    <xf numFmtId="0" fontId="1" fillId="0" borderId="0" xfId="1" applyNumberFormat="1" applyFont="1"/>
    <xf numFmtId="44" fontId="1" fillId="0" borderId="0" xfId="1" applyNumberFormat="1" applyFont="1"/>
    <xf numFmtId="44" fontId="0" fillId="0" borderId="0" xfId="1" applyNumberFormat="1" applyFont="1"/>
    <xf numFmtId="0" fontId="1" fillId="0" borderId="0" xfId="0" applyFont="1" applyProtection="1">
      <protection locked="0"/>
    </xf>
    <xf numFmtId="165" fontId="1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9" xfId="0" applyNumberFormat="1" applyBorder="1"/>
    <xf numFmtId="0" fontId="3" fillId="0" borderId="9" xfId="0" applyNumberFormat="1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" fillId="0" borderId="3" xfId="0" applyNumberFormat="1" applyFont="1" applyBorder="1" applyAlignment="1">
      <alignment vertical="center"/>
    </xf>
    <xf numFmtId="0" fontId="3" fillId="0" borderId="4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 applyProtection="1">
      <protection locked="0"/>
    </xf>
    <xf numFmtId="0" fontId="1" fillId="0" borderId="0" xfId="0" applyFont="1" applyAlignment="1" applyProtection="1">
      <protection locked="0"/>
    </xf>
    <xf numFmtId="14" fontId="0" fillId="0" borderId="0" xfId="0" applyNumberFormat="1" applyAlignment="1">
      <alignment horizontal="left"/>
    </xf>
    <xf numFmtId="0" fontId="12" fillId="0" borderId="10" xfId="0" applyFont="1" applyFill="1" applyBorder="1" applyAlignment="1">
      <alignment horizontal="left"/>
    </xf>
    <xf numFmtId="0" fontId="13" fillId="0" borderId="11" xfId="0" applyFont="1" applyFill="1" applyBorder="1" applyAlignment="1">
      <alignment vertical="center"/>
    </xf>
    <xf numFmtId="0" fontId="13" fillId="0" borderId="12" xfId="0" applyFont="1" applyFill="1" applyBorder="1" applyAlignment="1">
      <alignment vertical="center"/>
    </xf>
    <xf numFmtId="0" fontId="14" fillId="0" borderId="10" xfId="0" applyFont="1" applyFill="1" applyBorder="1" applyAlignment="1"/>
    <xf numFmtId="0" fontId="14" fillId="0" borderId="10" xfId="0" applyFont="1" applyFill="1" applyBorder="1" applyAlignment="1">
      <alignment horizontal="right"/>
    </xf>
    <xf numFmtId="0" fontId="15" fillId="0" borderId="13" xfId="0" applyFont="1" applyFill="1" applyBorder="1" applyAlignment="1">
      <alignment horizontal="left" indent="1"/>
    </xf>
    <xf numFmtId="0" fontId="13" fillId="0" borderId="0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4" fillId="0" borderId="15" xfId="0" applyFont="1" applyFill="1" applyBorder="1" applyAlignment="1">
      <alignment horizontal="right"/>
    </xf>
    <xf numFmtId="0" fontId="15" fillId="0" borderId="13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vertical="center"/>
    </xf>
    <xf numFmtId="0" fontId="14" fillId="0" borderId="16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17" xfId="0" applyFont="1" applyFill="1" applyBorder="1" applyAlignment="1">
      <alignment horizontal="left" vertical="center"/>
    </xf>
    <xf numFmtId="0" fontId="19" fillId="0" borderId="10" xfId="0" applyFont="1" applyFill="1" applyBorder="1" applyAlignment="1">
      <alignment vertical="center"/>
    </xf>
    <xf numFmtId="0" fontId="17" fillId="0" borderId="16" xfId="0" applyFont="1" applyFill="1" applyBorder="1" applyAlignment="1">
      <alignment horizontal="left" vertical="center"/>
    </xf>
    <xf numFmtId="0" fontId="19" fillId="0" borderId="10" xfId="0" applyFont="1" applyFill="1" applyBorder="1"/>
    <xf numFmtId="0" fontId="0" fillId="0" borderId="10" xfId="0" applyFill="1" applyBorder="1"/>
    <xf numFmtId="0" fontId="19" fillId="0" borderId="10" xfId="0" applyFont="1" applyFill="1" applyBorder="1" applyAlignment="1">
      <alignment horizontal="left"/>
    </xf>
    <xf numFmtId="0" fontId="19" fillId="0" borderId="20" xfId="0" applyFont="1" applyFill="1" applyBorder="1" applyAlignment="1">
      <alignment horizontal="left"/>
    </xf>
    <xf numFmtId="0" fontId="17" fillId="0" borderId="10" xfId="0" applyFont="1" applyFill="1" applyBorder="1" applyAlignment="1">
      <alignment vertical="center"/>
    </xf>
    <xf numFmtId="0" fontId="19" fillId="0" borderId="0" xfId="0" applyFont="1" applyFill="1" applyBorder="1" applyAlignment="1">
      <alignment horizontal="left"/>
    </xf>
    <xf numFmtId="0" fontId="0" fillId="0" borderId="0" xfId="0" applyFill="1" applyBorder="1"/>
    <xf numFmtId="0" fontId="21" fillId="6" borderId="21" xfId="0" applyFont="1" applyFill="1" applyBorder="1" applyAlignment="1">
      <alignment vertical="center"/>
    </xf>
    <xf numFmtId="0" fontId="21" fillId="6" borderId="23" xfId="0" applyFont="1" applyFill="1" applyBorder="1" applyAlignment="1">
      <alignment vertical="center"/>
    </xf>
    <xf numFmtId="2" fontId="19" fillId="0" borderId="32" xfId="0" applyNumberFormat="1" applyFont="1" applyFill="1" applyBorder="1" applyAlignment="1">
      <alignment horizontal="center" vertical="center"/>
    </xf>
    <xf numFmtId="0" fontId="19" fillId="0" borderId="32" xfId="0" applyNumberFormat="1" applyFont="1" applyFill="1" applyBorder="1" applyAlignment="1">
      <alignment horizontal="center" vertical="center" wrapText="1"/>
    </xf>
    <xf numFmtId="0" fontId="19" fillId="0" borderId="32" xfId="0" applyNumberFormat="1" applyFont="1" applyFill="1" applyBorder="1" applyAlignment="1">
      <alignment horizontal="left" vertical="center" wrapText="1"/>
    </xf>
    <xf numFmtId="0" fontId="0" fillId="0" borderId="32" xfId="0" applyFill="1" applyBorder="1"/>
    <xf numFmtId="0" fontId="0" fillId="0" borderId="34" xfId="0" applyFill="1" applyBorder="1" applyAlignment="1">
      <alignment vertical="center"/>
    </xf>
    <xf numFmtId="0" fontId="22" fillId="0" borderId="13" xfId="0" applyFont="1" applyFill="1" applyBorder="1" applyAlignment="1">
      <alignment horizontal="left" vertical="center"/>
    </xf>
    <xf numFmtId="2" fontId="22" fillId="0" borderId="0" xfId="0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right" vertical="center"/>
    </xf>
    <xf numFmtId="0" fontId="22" fillId="0" borderId="17" xfId="0" applyFont="1" applyFill="1" applyBorder="1" applyAlignment="1">
      <alignment horizontal="left" vertical="center"/>
    </xf>
    <xf numFmtId="2" fontId="22" fillId="0" borderId="23" xfId="0" applyNumberFormat="1" applyFont="1" applyFill="1" applyBorder="1" applyAlignment="1">
      <alignment horizontal="center" vertical="center"/>
    </xf>
    <xf numFmtId="164" fontId="22" fillId="0" borderId="36" xfId="0" applyNumberFormat="1" applyFont="1" applyFill="1" applyBorder="1" applyAlignment="1">
      <alignment horizontal="right" vertical="center"/>
    </xf>
    <xf numFmtId="0" fontId="22" fillId="0" borderId="17" xfId="0" applyFont="1" applyFill="1" applyBorder="1" applyAlignment="1">
      <alignment vertical="center"/>
    </xf>
    <xf numFmtId="9" fontId="22" fillId="0" borderId="18" xfId="6" applyFont="1" applyFill="1" applyBorder="1" applyAlignment="1">
      <alignment horizontal="center" vertical="center"/>
    </xf>
    <xf numFmtId="164" fontId="22" fillId="0" borderId="19" xfId="0" applyNumberFormat="1" applyFont="1" applyFill="1" applyBorder="1" applyAlignment="1">
      <alignment horizontal="right" vertical="center"/>
    </xf>
    <xf numFmtId="2" fontId="22" fillId="0" borderId="18" xfId="0" applyNumberFormat="1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left" vertical="center"/>
    </xf>
    <xf numFmtId="2" fontId="23" fillId="0" borderId="26" xfId="0" applyNumberFormat="1" applyFont="1" applyFill="1" applyBorder="1" applyAlignment="1">
      <alignment horizontal="center" vertical="center"/>
    </xf>
    <xf numFmtId="164" fontId="23" fillId="0" borderId="37" xfId="0" applyNumberFormat="1" applyFont="1" applyFill="1" applyBorder="1" applyAlignment="1">
      <alignment horizontal="right" vertical="center"/>
    </xf>
    <xf numFmtId="0" fontId="19" fillId="0" borderId="20" xfId="0" applyFont="1" applyFill="1" applyBorder="1"/>
    <xf numFmtId="0" fontId="0" fillId="0" borderId="20" xfId="0" applyFill="1" applyBorder="1"/>
    <xf numFmtId="0" fontId="19" fillId="0" borderId="20" xfId="0" applyFont="1" applyFill="1" applyBorder="1" applyAlignment="1" applyProtection="1">
      <protection hidden="1"/>
    </xf>
    <xf numFmtId="0" fontId="24" fillId="0" borderId="10" xfId="0" applyFont="1" applyFill="1" applyBorder="1" applyAlignment="1">
      <alignment horizontal="center"/>
    </xf>
    <xf numFmtId="0" fontId="24" fillId="0" borderId="10" xfId="0" applyFont="1" applyFill="1" applyBorder="1" applyAlignment="1"/>
    <xf numFmtId="0" fontId="17" fillId="0" borderId="0" xfId="0" applyFont="1" applyFill="1" applyBorder="1" applyAlignment="1">
      <alignment horizontal="left" vertical="center"/>
    </xf>
    <xf numFmtId="0" fontId="22" fillId="0" borderId="29" xfId="0" applyFont="1" applyFill="1" applyBorder="1" applyAlignment="1">
      <alignment horizontal="left" vertical="center" indent="1"/>
    </xf>
    <xf numFmtId="0" fontId="22" fillId="0" borderId="30" xfId="0" applyFont="1" applyFill="1" applyBorder="1" applyAlignment="1">
      <alignment horizontal="left" vertical="center" indent="1"/>
    </xf>
    <xf numFmtId="0" fontId="22" fillId="0" borderId="31" xfId="0" applyFont="1" applyFill="1" applyBorder="1" applyAlignment="1">
      <alignment horizontal="left" vertical="center" indent="1"/>
    </xf>
    <xf numFmtId="0" fontId="22" fillId="0" borderId="17" xfId="0" applyFont="1" applyFill="1" applyBorder="1" applyAlignment="1">
      <alignment horizontal="center" vertical="center"/>
    </xf>
    <xf numFmtId="0" fontId="22" fillId="0" borderId="35" xfId="0" applyFont="1" applyFill="1" applyBorder="1" applyAlignment="1">
      <alignment horizontal="center" vertical="center"/>
    </xf>
    <xf numFmtId="0" fontId="22" fillId="0" borderId="44" xfId="0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6" fillId="0" borderId="35" xfId="0" applyFont="1" applyFill="1" applyBorder="1" applyAlignment="1">
      <alignment horizontal="center" vertical="center"/>
    </xf>
    <xf numFmtId="0" fontId="16" fillId="0" borderId="44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center"/>
    </xf>
    <xf numFmtId="0" fontId="22" fillId="0" borderId="43" xfId="0" applyFont="1" applyFill="1" applyBorder="1" applyAlignment="1">
      <alignment horizontal="center"/>
    </xf>
    <xf numFmtId="0" fontId="20" fillId="6" borderId="18" xfId="0" applyFont="1" applyFill="1" applyBorder="1" applyAlignment="1">
      <alignment horizontal="left" vertical="center" indent="1"/>
    </xf>
    <xf numFmtId="0" fontId="20" fillId="6" borderId="33" xfId="0" applyFont="1" applyFill="1" applyBorder="1" applyAlignment="1">
      <alignment horizontal="left" vertical="center" indent="1"/>
    </xf>
    <xf numFmtId="0" fontId="20" fillId="6" borderId="19" xfId="0" applyFont="1" applyFill="1" applyBorder="1" applyAlignment="1">
      <alignment horizontal="left" vertical="center" indent="1"/>
    </xf>
    <xf numFmtId="0" fontId="22" fillId="0" borderId="38" xfId="0" applyFont="1" applyFill="1" applyBorder="1" applyAlignment="1">
      <alignment horizontal="left" vertical="center" indent="1"/>
    </xf>
    <xf numFmtId="0" fontId="22" fillId="0" borderId="39" xfId="0" applyFont="1" applyFill="1" applyBorder="1" applyAlignment="1">
      <alignment horizontal="left" vertical="center" indent="1"/>
    </xf>
    <xf numFmtId="0" fontId="22" fillId="0" borderId="40" xfId="0" applyFont="1" applyFill="1" applyBorder="1" applyAlignment="1">
      <alignment horizontal="left" vertical="center" indent="1"/>
    </xf>
    <xf numFmtId="168" fontId="22" fillId="0" borderId="18" xfId="0" applyNumberFormat="1" applyFont="1" applyFill="1" applyBorder="1" applyAlignment="1">
      <alignment horizontal="right" vertical="center"/>
    </xf>
    <xf numFmtId="168" fontId="22" fillId="0" borderId="19" xfId="0" applyNumberFormat="1" applyFont="1" applyFill="1" applyBorder="1" applyAlignment="1">
      <alignment horizontal="right" vertical="center"/>
    </xf>
    <xf numFmtId="0" fontId="22" fillId="0" borderId="27" xfId="0" applyFont="1" applyFill="1" applyBorder="1" applyAlignment="1">
      <alignment horizontal="left" vertical="center" indent="1"/>
    </xf>
    <xf numFmtId="0" fontId="22" fillId="0" borderId="35" xfId="0" applyFont="1" applyFill="1" applyBorder="1" applyAlignment="1">
      <alignment horizontal="left" vertical="center" indent="1"/>
    </xf>
    <xf numFmtId="0" fontId="22" fillId="0" borderId="28" xfId="0" applyFont="1" applyFill="1" applyBorder="1" applyAlignment="1">
      <alignment horizontal="left" vertical="center" indent="1"/>
    </xf>
    <xf numFmtId="2" fontId="22" fillId="0" borderId="27" xfId="0" applyNumberFormat="1" applyFont="1" applyFill="1" applyBorder="1" applyAlignment="1">
      <alignment horizontal="center" vertical="center"/>
    </xf>
    <xf numFmtId="2" fontId="22" fillId="0" borderId="28" xfId="0" applyNumberFormat="1" applyFont="1" applyFill="1" applyBorder="1" applyAlignment="1">
      <alignment horizontal="center" vertical="center"/>
    </xf>
    <xf numFmtId="164" fontId="22" fillId="0" borderId="27" xfId="0" applyNumberFormat="1" applyFont="1" applyFill="1" applyBorder="1" applyAlignment="1">
      <alignment horizontal="left" vertical="center"/>
    </xf>
    <xf numFmtId="164" fontId="22" fillId="0" borderId="35" xfId="0" applyNumberFormat="1" applyFont="1" applyFill="1" applyBorder="1" applyAlignment="1">
      <alignment horizontal="left" vertical="center"/>
    </xf>
    <xf numFmtId="164" fontId="22" fillId="0" borderId="28" xfId="0" applyNumberFormat="1" applyFont="1" applyFill="1" applyBorder="1" applyAlignment="1">
      <alignment horizontal="left" vertical="center"/>
    </xf>
    <xf numFmtId="164" fontId="22" fillId="0" borderId="27" xfId="0" applyNumberFormat="1" applyFont="1" applyFill="1" applyBorder="1" applyAlignment="1">
      <alignment horizontal="right" vertical="center"/>
    </xf>
    <xf numFmtId="164" fontId="22" fillId="0" borderId="28" xfId="0" applyNumberFormat="1" applyFont="1" applyFill="1" applyBorder="1" applyAlignment="1">
      <alignment horizontal="right" vertical="center"/>
    </xf>
    <xf numFmtId="2" fontId="22" fillId="0" borderId="29" xfId="0" applyNumberFormat="1" applyFont="1" applyFill="1" applyBorder="1" applyAlignment="1">
      <alignment horizontal="left" vertical="center"/>
    </xf>
    <xf numFmtId="2" fontId="22" fillId="0" borderId="30" xfId="0" applyNumberFormat="1" applyFont="1" applyFill="1" applyBorder="1" applyAlignment="1">
      <alignment horizontal="left" vertical="center"/>
    </xf>
    <xf numFmtId="2" fontId="22" fillId="0" borderId="31" xfId="0" applyNumberFormat="1" applyFont="1" applyFill="1" applyBorder="1" applyAlignment="1">
      <alignment horizontal="left" vertical="center"/>
    </xf>
    <xf numFmtId="164" fontId="22" fillId="0" borderId="29" xfId="0" applyNumberFormat="1" applyFont="1" applyFill="1" applyBorder="1" applyAlignment="1">
      <alignment horizontal="right" vertical="center"/>
    </xf>
    <xf numFmtId="164" fontId="22" fillId="0" borderId="31" xfId="0" applyNumberFormat="1" applyFont="1" applyFill="1" applyBorder="1" applyAlignment="1">
      <alignment horizontal="right" vertical="center"/>
    </xf>
    <xf numFmtId="44" fontId="22" fillId="0" borderId="27" xfId="1" applyFont="1" applyFill="1" applyBorder="1" applyAlignment="1">
      <alignment horizontal="right" vertical="center"/>
    </xf>
    <xf numFmtId="44" fontId="22" fillId="0" borderId="28" xfId="1" applyFont="1" applyFill="1" applyBorder="1" applyAlignment="1">
      <alignment horizontal="right" vertical="center"/>
    </xf>
    <xf numFmtId="1" fontId="22" fillId="0" borderId="27" xfId="0" applyNumberFormat="1" applyFont="1" applyFill="1" applyBorder="1" applyAlignment="1">
      <alignment horizontal="right" vertical="center"/>
    </xf>
    <xf numFmtId="1" fontId="22" fillId="0" borderId="28" xfId="0" applyNumberFormat="1" applyFont="1" applyFill="1" applyBorder="1" applyAlignment="1">
      <alignment horizontal="right" vertical="center"/>
    </xf>
    <xf numFmtId="44" fontId="22" fillId="0" borderId="27" xfId="0" applyNumberFormat="1" applyFont="1" applyFill="1" applyBorder="1" applyAlignment="1">
      <alignment horizontal="right" vertical="center"/>
    </xf>
    <xf numFmtId="44" fontId="22" fillId="0" borderId="28" xfId="0" applyNumberFormat="1" applyFont="1" applyFill="1" applyBorder="1" applyAlignment="1">
      <alignment horizontal="right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6" borderId="23" xfId="0" applyFont="1" applyFill="1" applyBorder="1" applyAlignment="1">
      <alignment horizontal="center" vertical="center"/>
    </xf>
    <xf numFmtId="2" fontId="22" fillId="0" borderId="24" xfId="0" applyNumberFormat="1" applyFont="1" applyFill="1" applyBorder="1" applyAlignment="1">
      <alignment horizontal="center" vertical="center"/>
    </xf>
    <xf numFmtId="2" fontId="22" fillId="0" borderId="25" xfId="0" applyNumberFormat="1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left" vertical="center"/>
    </xf>
    <xf numFmtId="164" fontId="22" fillId="0" borderId="26" xfId="0" applyNumberFormat="1" applyFont="1" applyFill="1" applyBorder="1" applyAlignment="1">
      <alignment horizontal="left" vertical="center"/>
    </xf>
    <xf numFmtId="164" fontId="22" fillId="0" borderId="25" xfId="0" applyNumberFormat="1" applyFont="1" applyFill="1" applyBorder="1" applyAlignment="1">
      <alignment horizontal="left" vertical="center"/>
    </xf>
    <xf numFmtId="1" fontId="22" fillId="0" borderId="24" xfId="0" applyNumberFormat="1" applyFont="1" applyFill="1" applyBorder="1" applyAlignment="1">
      <alignment horizontal="right" vertical="center"/>
    </xf>
    <xf numFmtId="1" fontId="22" fillId="0" borderId="25" xfId="0" applyNumberFormat="1" applyFont="1" applyFill="1" applyBorder="1" applyAlignment="1">
      <alignment horizontal="right" vertical="center"/>
    </xf>
    <xf numFmtId="44" fontId="22" fillId="0" borderId="24" xfId="0" applyNumberFormat="1" applyFont="1" applyFill="1" applyBorder="1" applyAlignment="1">
      <alignment horizontal="right" vertical="center"/>
    </xf>
    <xf numFmtId="44" fontId="22" fillId="0" borderId="25" xfId="0" applyNumberFormat="1" applyFont="1" applyFill="1" applyBorder="1" applyAlignment="1">
      <alignment horizontal="right" vertical="center"/>
    </xf>
    <xf numFmtId="0" fontId="17" fillId="0" borderId="17" xfId="0" applyFont="1" applyFill="1" applyBorder="1" applyAlignment="1">
      <alignment horizontal="left" vertical="center" indent="1"/>
    </xf>
    <xf numFmtId="0" fontId="17" fillId="0" borderId="35" xfId="0" applyFont="1" applyFill="1" applyBorder="1" applyAlignment="1">
      <alignment horizontal="left" vertical="center" indent="1"/>
    </xf>
    <xf numFmtId="0" fontId="17" fillId="0" borderId="44" xfId="0" applyFont="1" applyFill="1" applyBorder="1" applyAlignment="1">
      <alignment horizontal="left" vertical="center" indent="1"/>
    </xf>
    <xf numFmtId="0" fontId="17" fillId="0" borderId="18" xfId="0" applyFont="1" applyFill="1" applyBorder="1" applyAlignment="1">
      <alignment horizontal="left" vertical="center"/>
    </xf>
    <xf numFmtId="0" fontId="17" fillId="0" borderId="19" xfId="0" applyFont="1" applyFill="1" applyBorder="1" applyAlignment="1">
      <alignment horizontal="left" vertical="center"/>
    </xf>
    <xf numFmtId="0" fontId="20" fillId="6" borderId="17" xfId="0" applyFont="1" applyFill="1" applyBorder="1" applyAlignment="1">
      <alignment horizontal="left" vertical="center" indent="1"/>
    </xf>
    <xf numFmtId="0" fontId="20" fillId="6" borderId="35" xfId="0" applyFont="1" applyFill="1" applyBorder="1" applyAlignment="1">
      <alignment horizontal="left" vertical="center" indent="1"/>
    </xf>
    <xf numFmtId="0" fontId="20" fillId="6" borderId="44" xfId="0" applyFont="1" applyFill="1" applyBorder="1" applyAlignment="1">
      <alignment horizontal="left" vertical="center" indent="1"/>
    </xf>
    <xf numFmtId="0" fontId="20" fillId="0" borderId="17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44" xfId="0" applyFont="1" applyFill="1" applyBorder="1" applyAlignment="1">
      <alignment horizontal="left" vertical="center" indent="1"/>
    </xf>
    <xf numFmtId="0" fontId="16" fillId="0" borderId="17" xfId="0" applyFont="1" applyFill="1" applyBorder="1" applyAlignment="1">
      <alignment horizontal="left" vertical="center"/>
    </xf>
    <xf numFmtId="0" fontId="16" fillId="0" borderId="35" xfId="0" applyFont="1" applyFill="1" applyBorder="1" applyAlignment="1">
      <alignment horizontal="left" vertical="center"/>
    </xf>
    <xf numFmtId="0" fontId="16" fillId="0" borderId="44" xfId="0" applyFont="1" applyFill="1" applyBorder="1" applyAlignment="1">
      <alignment horizontal="left" vertical="center"/>
    </xf>
    <xf numFmtId="167" fontId="17" fillId="0" borderId="18" xfId="0" applyNumberFormat="1" applyFont="1" applyFill="1" applyBorder="1" applyAlignment="1">
      <alignment horizontal="left" vertical="center"/>
    </xf>
    <xf numFmtId="167" fontId="17" fillId="0" borderId="19" xfId="0" applyNumberFormat="1" applyFont="1" applyFill="1" applyBorder="1" applyAlignment="1">
      <alignment horizontal="left" vertical="center"/>
    </xf>
    <xf numFmtId="0" fontId="18" fillId="0" borderId="17" xfId="0" applyFont="1" applyFill="1" applyBorder="1" applyAlignment="1">
      <alignment horizontal="left" vertical="center"/>
    </xf>
    <xf numFmtId="0" fontId="18" fillId="0" borderId="35" xfId="0" applyFont="1" applyFill="1" applyBorder="1" applyAlignment="1">
      <alignment horizontal="left" vertical="center"/>
    </xf>
    <xf numFmtId="0" fontId="18" fillId="0" borderId="44" xfId="0" applyFont="1" applyFill="1" applyBorder="1" applyAlignment="1">
      <alignment horizontal="left" vertical="center"/>
    </xf>
  </cellXfs>
  <cellStyles count="7">
    <cellStyle name="Currency" xfId="1" builtinId="4"/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6" builtinId="5"/>
  </cellStyles>
  <dxfs count="26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auto="1"/>
      </font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auto="1"/>
      </font>
    </dxf>
    <dxf>
      <font>
        <condense val="0"/>
        <extend val="0"/>
        <color indexed="9"/>
      </font>
      <fill>
        <patternFill>
          <bgColor indexed="58"/>
        </patternFill>
      </fill>
    </dxf>
    <dxf>
      <font>
        <condense val="0"/>
        <extend val="0"/>
        <color indexed="9"/>
      </font>
      <fill>
        <patternFill>
          <bgColor indexed="16"/>
        </patternFill>
      </fill>
    </dxf>
    <dxf>
      <font>
        <condense val="0"/>
        <extend val="0"/>
        <color indexed="63"/>
      </font>
      <fill>
        <patternFill>
          <bgColor indexed="55"/>
        </patternFill>
      </fill>
    </dxf>
    <dxf>
      <fill>
        <patternFill>
          <bgColor indexed="22"/>
        </patternFill>
      </fill>
    </dxf>
    <dxf>
      <fill>
        <patternFill>
          <bgColor indexed="58"/>
        </patternFill>
      </fill>
    </dxf>
    <dxf>
      <fill>
        <patternFill>
          <bgColor indexed="16"/>
        </patternFill>
      </fill>
    </dxf>
    <dxf>
      <font>
        <condense val="0"/>
        <extend val="0"/>
        <color auto="1"/>
      </font>
      <fill>
        <patternFill patternType="solid">
          <bgColor indexed="55"/>
        </patternFill>
      </fill>
    </dxf>
    <dxf>
      <border>
        <left/>
        <right/>
        <top/>
        <bottom style="hair">
          <color indexed="58"/>
        </bottom>
      </border>
    </dxf>
    <dxf>
      <border>
        <left/>
        <right/>
        <top/>
        <bottom style="hair">
          <color indexed="16"/>
        </bottom>
      </border>
    </dxf>
    <dxf>
      <border>
        <left/>
        <right/>
        <top/>
        <bottom style="hair">
          <color indexed="63"/>
        </bottom>
      </border>
    </dxf>
    <dxf>
      <numFmt numFmtId="14" formatCode="0.00%"/>
    </dxf>
    <dxf>
      <numFmt numFmtId="169" formatCode="_(&quot;£&quot;* #,##0.00_);_(&quot;£&quot;* \(#,##0.00\);_(&quot;£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'Tables and Graphs'!$N$1</c:f>
              <c:strCache>
                <c:ptCount val="1"/>
                <c:pt idx="0">
                  <c:v> Retail Price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86E-4991-9C7E-B23656378A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86E-4991-9C7E-B23656378A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86E-4991-9C7E-B23656378A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'Tables and Graphs'!$M$2:$M$5</c:f>
              <c:strCache>
                <c:ptCount val="3"/>
                <c:pt idx="0">
                  <c:v>A1</c:v>
                </c:pt>
                <c:pt idx="1">
                  <c:v>A2</c:v>
                </c:pt>
                <c:pt idx="2">
                  <c:v>A3</c:v>
                </c:pt>
              </c:strCache>
            </c:strRef>
          </c:cat>
          <c:val>
            <c:numRef>
              <c:f>'Tables and Graphs'!$N$2:$N$5</c:f>
              <c:numCache>
                <c:formatCode>_("£"* #,##0.00_);_("£"* \(#,##0.00\);_("£"* "-"??_);_(@_)</c:formatCode>
                <c:ptCount val="3"/>
                <c:pt idx="0">
                  <c:v>7610</c:v>
                </c:pt>
                <c:pt idx="1">
                  <c:v>5537</c:v>
                </c:pt>
                <c:pt idx="2">
                  <c:v>4095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86E-4991-9C7E-B23656378A3A}"/>
            </c:ext>
          </c:extLst>
        </c:ser>
        <c:ser>
          <c:idx val="1"/>
          <c:order val="1"/>
          <c:tx>
            <c:strRef>
              <c:f>'Tables and Graphs'!$O$1</c:f>
              <c:strCache>
                <c:ptCount val="1"/>
                <c:pt idx="0">
                  <c:v>Sales Price (%)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286E-4991-9C7E-B23656378A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286E-4991-9C7E-B23656378A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286E-4991-9C7E-B23656378A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'Tables and Graphs'!$M$2:$M$5</c:f>
              <c:strCache>
                <c:ptCount val="3"/>
                <c:pt idx="0">
                  <c:v>A1</c:v>
                </c:pt>
                <c:pt idx="1">
                  <c:v>A2</c:v>
                </c:pt>
                <c:pt idx="2">
                  <c:v>A3</c:v>
                </c:pt>
              </c:strCache>
            </c:strRef>
          </c:cat>
          <c:val>
            <c:numRef>
              <c:f>'Tables and Graphs'!$O$2:$O$5</c:f>
              <c:numCache>
                <c:formatCode>0.00%</c:formatCode>
                <c:ptCount val="3"/>
                <c:pt idx="0">
                  <c:v>0.41959784645896175</c:v>
                </c:pt>
                <c:pt idx="1">
                  <c:v>0.33195059523500486</c:v>
                </c:pt>
                <c:pt idx="2">
                  <c:v>0.24845155830603335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286E-4991-9C7E-B23656378A3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Graphs!PivotTable4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'Tables and Graphs'!$B$1</c:f>
              <c:strCache>
                <c:ptCount val="1"/>
                <c:pt idx="0">
                  <c:v>Quantity (#)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33-416A-9D2C-38296EE3B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33-416A-9D2C-38296EE3B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033-416A-9D2C-38296EE3B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'Tables and Graphs'!$A$2:$A$5</c:f>
              <c:strCache>
                <c:ptCount val="3"/>
                <c:pt idx="0">
                  <c:v>A1</c:v>
                </c:pt>
                <c:pt idx="1">
                  <c:v>A2</c:v>
                </c:pt>
                <c:pt idx="2">
                  <c:v>A3</c:v>
                </c:pt>
              </c:strCache>
            </c:strRef>
          </c:cat>
          <c:val>
            <c:numRef>
              <c:f>'Tables and Graphs'!$B$2:$B$5</c:f>
              <c:numCache>
                <c:formatCode>General</c:formatCode>
                <c:ptCount val="3"/>
                <c:pt idx="0">
                  <c:v>761</c:v>
                </c:pt>
                <c:pt idx="1">
                  <c:v>791</c:v>
                </c:pt>
                <c:pt idx="2">
                  <c:v>819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EAC-40E0-A5C4-990DC8FC9EEC}"/>
            </c:ext>
          </c:extLst>
        </c:ser>
        <c:ser>
          <c:idx val="1"/>
          <c:order val="1"/>
          <c:tx>
            <c:strRef>
              <c:f>'Tables and Graphs'!$C$1</c:f>
              <c:strCache>
                <c:ptCount val="1"/>
                <c:pt idx="0">
                  <c:v>Quantity (%)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033-416A-9D2C-38296EE3B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033-416A-9D2C-38296EE3B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033-416A-9D2C-38296EE3B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'Tables and Graphs'!$A$2:$A$5</c:f>
              <c:strCache>
                <c:ptCount val="3"/>
                <c:pt idx="0">
                  <c:v>A1</c:v>
                </c:pt>
                <c:pt idx="1">
                  <c:v>A2</c:v>
                </c:pt>
                <c:pt idx="2">
                  <c:v>A3</c:v>
                </c:pt>
              </c:strCache>
            </c:strRef>
          </c:cat>
          <c:val>
            <c:numRef>
              <c:f>'Tables and Graphs'!$C$2:$C$5</c:f>
              <c:numCache>
                <c:formatCode>0.00%</c:formatCode>
                <c:ptCount val="3"/>
                <c:pt idx="0">
                  <c:v>0.32096161956980179</c:v>
                </c:pt>
                <c:pt idx="1">
                  <c:v>0.33361450864614089</c:v>
                </c:pt>
                <c:pt idx="2">
                  <c:v>0.34542387178405737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EAC-40E0-A5C4-990DC8FC9EE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Graphs!PivotTable17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9247594050743705E-2"/>
          <c:y val="4.1666666666666699E-2"/>
          <c:w val="0.76305796150481198"/>
          <c:h val="0.84167468649752097"/>
        </c:manualLayout>
      </c:layout>
      <c:lineChart>
        <c:grouping val="standard"/>
        <c:varyColors val="0"/>
        <c:ser>
          <c:idx val="0"/>
          <c:order val="0"/>
          <c:tx>
            <c:strRef>
              <c:f>'Tables and Graphs'!$F$1:$F$2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Graphs'!$F$3:$F$6</c:f>
              <c:numCache>
                <c:formatCode>General</c:formatCode>
                <c:ptCount val="3"/>
                <c:pt idx="0">
                  <c:v>210</c:v>
                </c:pt>
                <c:pt idx="1">
                  <c:v>396</c:v>
                </c:pt>
                <c:pt idx="2">
                  <c:v>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04-4E69-871A-BBC11DDA42CD}"/>
            </c:ext>
          </c:extLst>
        </c:ser>
        <c:ser>
          <c:idx val="1"/>
          <c:order val="1"/>
          <c:tx>
            <c:strRef>
              <c:f>'Tables and Graphs'!$G$1:$G$2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Graphs'!$G$3:$G$6</c:f>
              <c:numCache>
                <c:formatCode>General</c:formatCode>
                <c:ptCount val="3"/>
                <c:pt idx="0">
                  <c:v>144</c:v>
                </c:pt>
                <c:pt idx="1">
                  <c:v>156</c:v>
                </c:pt>
                <c:pt idx="2">
                  <c:v>491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E04-4E69-871A-BBC11DDA42CD}"/>
            </c:ext>
          </c:extLst>
        </c:ser>
        <c:ser>
          <c:idx val="2"/>
          <c:order val="2"/>
          <c:tx>
            <c:strRef>
              <c:f>'Tables and Graphs'!$H$1:$H$2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Graphs'!$H$3:$H$6</c:f>
              <c:numCache>
                <c:formatCode>General</c:formatCode>
                <c:ptCount val="3"/>
                <c:pt idx="0">
                  <c:v>268</c:v>
                </c:pt>
                <c:pt idx="1">
                  <c:v>231</c:v>
                </c:pt>
                <c:pt idx="2">
                  <c:v>320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E04-4E69-871A-BBC11DDA4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908776"/>
        <c:axId val="398901328"/>
      </c:lineChart>
      <c:catAx>
        <c:axId val="398908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01328"/>
        <c:crosses val="autoZero"/>
        <c:auto val="1"/>
        <c:lblAlgn val="ctr"/>
        <c:lblOffset val="100"/>
        <c:noMultiLvlLbl val="0"/>
      </c:catAx>
      <c:valAx>
        <c:axId val="39890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087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Graphs!PivotTable17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'Tables and Graphs'!$F$1:$F$2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Graphs'!$F$3:$F$6</c:f>
              <c:numCache>
                <c:formatCode>General</c:formatCode>
                <c:ptCount val="3"/>
                <c:pt idx="0">
                  <c:v>210</c:v>
                </c:pt>
                <c:pt idx="1">
                  <c:v>396</c:v>
                </c:pt>
                <c:pt idx="2">
                  <c:v>155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2A-4193-B618-A357211E0A60}"/>
            </c:ext>
          </c:extLst>
        </c:ser>
        <c:ser>
          <c:idx val="1"/>
          <c:order val="1"/>
          <c:tx>
            <c:strRef>
              <c:f>'Tables and Graphs'!$G$1:$G$2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Graphs'!$G$3:$G$6</c:f>
              <c:numCache>
                <c:formatCode>General</c:formatCode>
                <c:ptCount val="3"/>
                <c:pt idx="0">
                  <c:v>144</c:v>
                </c:pt>
                <c:pt idx="1">
                  <c:v>156</c:v>
                </c:pt>
                <c:pt idx="2">
                  <c:v>491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62A-4193-B618-A357211E0A60}"/>
            </c:ext>
          </c:extLst>
        </c:ser>
        <c:ser>
          <c:idx val="2"/>
          <c:order val="2"/>
          <c:tx>
            <c:strRef>
              <c:f>'Tables and Graphs'!$H$1:$H$2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'Tables and Graphs'!$E$3:$E$6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'Tables and Graphs'!$H$3:$H$6</c:f>
              <c:numCache>
                <c:formatCode>General</c:formatCode>
                <c:ptCount val="3"/>
                <c:pt idx="0">
                  <c:v>268</c:v>
                </c:pt>
                <c:pt idx="1">
                  <c:v>231</c:v>
                </c:pt>
                <c:pt idx="2">
                  <c:v>320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62A-4193-B618-A357211E0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8898584"/>
        <c:axId val="398900936"/>
      </c:barChart>
      <c:catAx>
        <c:axId val="398898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00936"/>
        <c:crosses val="autoZero"/>
        <c:auto val="1"/>
        <c:lblAlgn val="ctr"/>
        <c:lblOffset val="100"/>
        <c:noMultiLvlLbl val="0"/>
      </c:catAx>
      <c:valAx>
        <c:axId val="39890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9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Graphs!PivotTable9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'Tables and Graphs'!$T$1:$T$2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Graphs'!$T$3:$T$12</c:f>
              <c:numCache>
                <c:formatCode>General</c:formatCode>
                <c:ptCount val="9"/>
                <c:pt idx="0">
                  <c:v>115</c:v>
                </c:pt>
                <c:pt idx="1">
                  <c:v>2</c:v>
                </c:pt>
                <c:pt idx="2">
                  <c:v>93</c:v>
                </c:pt>
                <c:pt idx="3">
                  <c:v>225</c:v>
                </c:pt>
                <c:pt idx="4">
                  <c:v>28</c:v>
                </c:pt>
                <c:pt idx="5">
                  <c:v>143</c:v>
                </c:pt>
                <c:pt idx="6">
                  <c:v>69</c:v>
                </c:pt>
                <c:pt idx="7">
                  <c:v>43</c:v>
                </c:pt>
                <c:pt idx="8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CB1-4F6D-80D5-5E0F32FB8C69}"/>
            </c:ext>
          </c:extLst>
        </c:ser>
        <c:ser>
          <c:idx val="1"/>
          <c:order val="1"/>
          <c:tx>
            <c:strRef>
              <c:f>'Tables and Graphs'!$U$1:$U$2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Graphs'!$U$3:$U$12</c:f>
              <c:numCache>
                <c:formatCode>General</c:formatCode>
                <c:ptCount val="9"/>
                <c:pt idx="0">
                  <c:v>74</c:v>
                </c:pt>
                <c:pt idx="1">
                  <c:v>18</c:v>
                </c:pt>
                <c:pt idx="2">
                  <c:v>52</c:v>
                </c:pt>
                <c:pt idx="3">
                  <c:v>74</c:v>
                </c:pt>
                <c:pt idx="4">
                  <c:v>20</c:v>
                </c:pt>
                <c:pt idx="5">
                  <c:v>62</c:v>
                </c:pt>
                <c:pt idx="6">
                  <c:v>375</c:v>
                </c:pt>
                <c:pt idx="7">
                  <c:v>38</c:v>
                </c:pt>
                <c:pt idx="8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CB1-4F6D-80D5-5E0F32FB8C69}"/>
            </c:ext>
          </c:extLst>
        </c:ser>
        <c:ser>
          <c:idx val="2"/>
          <c:order val="2"/>
          <c:tx>
            <c:strRef>
              <c:f>'Tables and Graphs'!$V$1:$V$2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Graphs'!$V$3:$V$12</c:f>
              <c:numCache>
                <c:formatCode>General</c:formatCode>
                <c:ptCount val="9"/>
                <c:pt idx="0">
                  <c:v>87</c:v>
                </c:pt>
                <c:pt idx="1">
                  <c:v>100</c:v>
                </c:pt>
                <c:pt idx="2">
                  <c:v>81</c:v>
                </c:pt>
                <c:pt idx="3">
                  <c:v>97</c:v>
                </c:pt>
                <c:pt idx="4">
                  <c:v>92</c:v>
                </c:pt>
                <c:pt idx="5">
                  <c:v>42</c:v>
                </c:pt>
                <c:pt idx="6">
                  <c:v>93</c:v>
                </c:pt>
                <c:pt idx="7">
                  <c:v>80</c:v>
                </c:pt>
                <c:pt idx="8">
                  <c:v>147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B1-4F6D-80D5-5E0F32FB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894272"/>
        <c:axId val="398897016"/>
      </c:lineChart>
      <c:catAx>
        <c:axId val="3988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97016"/>
        <c:crosses val="autoZero"/>
        <c:auto val="1"/>
        <c:lblAlgn val="ctr"/>
        <c:lblOffset val="100"/>
        <c:noMultiLvlLbl val="0"/>
      </c:catAx>
      <c:valAx>
        <c:axId val="39889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'Tables and Graphs'!$D$37:$D$38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Graphs'!$D$39:$D$46</c:f>
              <c:numCache>
                <c:formatCode>General</c:formatCode>
                <c:ptCount val="7"/>
                <c:pt idx="1">
                  <c:v>1085</c:v>
                </c:pt>
                <c:pt idx="2">
                  <c:v>2178</c:v>
                </c:pt>
                <c:pt idx="3">
                  <c:v>322</c:v>
                </c:pt>
                <c:pt idx="4">
                  <c:v>196</c:v>
                </c:pt>
                <c:pt idx="5">
                  <c:v>179.99999999999997</c:v>
                </c:pt>
                <c:pt idx="6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87-453F-8FAA-0BB1E31D6D9D}"/>
            </c:ext>
          </c:extLst>
        </c:ser>
        <c:ser>
          <c:idx val="1"/>
          <c:order val="1"/>
          <c:tx>
            <c:strRef>
              <c:f>'Tables and Graphs'!$E$37:$E$38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Graphs'!$E$39:$E$46</c:f>
              <c:numCache>
                <c:formatCode>General</c:formatCode>
                <c:ptCount val="7"/>
                <c:pt idx="0">
                  <c:v>509.6</c:v>
                </c:pt>
                <c:pt idx="1">
                  <c:v>686</c:v>
                </c:pt>
                <c:pt idx="2">
                  <c:v>1222.2</c:v>
                </c:pt>
                <c:pt idx="3">
                  <c:v>406.7</c:v>
                </c:pt>
                <c:pt idx="4">
                  <c:v>372.4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87-453F-8FAA-0BB1E31D6D9D}"/>
            </c:ext>
          </c:extLst>
        </c:ser>
        <c:ser>
          <c:idx val="2"/>
          <c:order val="2"/>
          <c:tx>
            <c:strRef>
              <c:f>'Tables and Graphs'!$F$37:$F$38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Graphs'!$F$39:$F$46</c:f>
              <c:numCache>
                <c:formatCode>General</c:formatCode>
                <c:ptCount val="7"/>
                <c:pt idx="0">
                  <c:v>549.5</c:v>
                </c:pt>
                <c:pt idx="1">
                  <c:v>497</c:v>
                </c:pt>
                <c:pt idx="2">
                  <c:v>348.74999999999994</c:v>
                </c:pt>
                <c:pt idx="3">
                  <c:v>315</c:v>
                </c:pt>
                <c:pt idx="4">
                  <c:v>140</c:v>
                </c:pt>
                <c:pt idx="5">
                  <c:v>517.5</c:v>
                </c:pt>
                <c:pt idx="6">
                  <c:v>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087-453F-8FAA-0BB1E31D6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747224"/>
        <c:axId val="526745264"/>
      </c:barChart>
      <c:catAx>
        <c:axId val="52674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45264"/>
        <c:crosses val="autoZero"/>
        <c:auto val="1"/>
        <c:lblAlgn val="ctr"/>
        <c:lblOffset val="100"/>
        <c:noMultiLvlLbl val="0"/>
      </c:catAx>
      <c:valAx>
        <c:axId val="5267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4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Graphs!PivotTable2</c:name>
    <c:fmtId val="5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'Tables and Graphs'!$D$37:$D$38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Graphs'!$D$39:$D$46</c:f>
              <c:numCache>
                <c:formatCode>General</c:formatCode>
                <c:ptCount val="7"/>
                <c:pt idx="1">
                  <c:v>1085</c:v>
                </c:pt>
                <c:pt idx="2">
                  <c:v>2178</c:v>
                </c:pt>
                <c:pt idx="3">
                  <c:v>322</c:v>
                </c:pt>
                <c:pt idx="4">
                  <c:v>196</c:v>
                </c:pt>
                <c:pt idx="5">
                  <c:v>179.99999999999997</c:v>
                </c:pt>
                <c:pt idx="6">
                  <c:v>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B4F-4A1C-9D9A-1670E2FC65B5}"/>
            </c:ext>
          </c:extLst>
        </c:ser>
        <c:ser>
          <c:idx val="1"/>
          <c:order val="1"/>
          <c:tx>
            <c:strRef>
              <c:f>'Tables and Graphs'!$E$37:$E$38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Graphs'!$E$39:$E$46</c:f>
              <c:numCache>
                <c:formatCode>General</c:formatCode>
                <c:ptCount val="7"/>
                <c:pt idx="0">
                  <c:v>509.6</c:v>
                </c:pt>
                <c:pt idx="1">
                  <c:v>686</c:v>
                </c:pt>
                <c:pt idx="2">
                  <c:v>1222.2</c:v>
                </c:pt>
                <c:pt idx="3">
                  <c:v>406.7</c:v>
                </c:pt>
                <c:pt idx="4">
                  <c:v>372.4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B4F-4A1C-9D9A-1670E2FC65B5}"/>
            </c:ext>
          </c:extLst>
        </c:ser>
        <c:ser>
          <c:idx val="2"/>
          <c:order val="2"/>
          <c:tx>
            <c:strRef>
              <c:f>'Tables and Graphs'!$F$37:$F$38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'Tables and Graphs'!$C$39:$C$46</c:f>
              <c:strCache>
                <c:ptCount val="7"/>
                <c:pt idx="0">
                  <c:v>Ballams</c:v>
                </c:pt>
                <c:pt idx="1">
                  <c:v>Dragon</c:v>
                </c:pt>
                <c:pt idx="2">
                  <c:v>Gardners</c:v>
                </c:pt>
                <c:pt idx="3">
                  <c:v>Metcalfe Ltd</c:v>
                </c:pt>
                <c:pt idx="4">
                  <c:v>Smiths</c:v>
                </c:pt>
                <c:pt idx="5">
                  <c:v>TES</c:v>
                </c:pt>
                <c:pt idx="6">
                  <c:v>Web sale</c:v>
                </c:pt>
              </c:strCache>
            </c:strRef>
          </c:cat>
          <c:val>
            <c:numRef>
              <c:f>'Tables and Graphs'!$F$39:$F$46</c:f>
              <c:numCache>
                <c:formatCode>General</c:formatCode>
                <c:ptCount val="7"/>
                <c:pt idx="0">
                  <c:v>549.5</c:v>
                </c:pt>
                <c:pt idx="1">
                  <c:v>497</c:v>
                </c:pt>
                <c:pt idx="2">
                  <c:v>348.74999999999994</c:v>
                </c:pt>
                <c:pt idx="3">
                  <c:v>315</c:v>
                </c:pt>
                <c:pt idx="4">
                  <c:v>140</c:v>
                </c:pt>
                <c:pt idx="5">
                  <c:v>517.5</c:v>
                </c:pt>
                <c:pt idx="6">
                  <c:v>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B4F-4A1C-9D9A-1670E2FC6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48400"/>
        <c:axId val="526744088"/>
      </c:lineChart>
      <c:catAx>
        <c:axId val="52674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44088"/>
        <c:crosses val="autoZero"/>
        <c:auto val="1"/>
        <c:lblAlgn val="ctr"/>
        <c:lblOffset val="100"/>
        <c:noMultiLvlLbl val="0"/>
      </c:catAx>
      <c:valAx>
        <c:axId val="52674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4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Atlas.xlsm]Tables and Graphs!PivotTable9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'Tables and Graphs'!$T$1:$T$2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Graphs'!$T$3:$T$12</c:f>
              <c:numCache>
                <c:formatCode>General</c:formatCode>
                <c:ptCount val="9"/>
                <c:pt idx="0">
                  <c:v>115</c:v>
                </c:pt>
                <c:pt idx="1">
                  <c:v>2</c:v>
                </c:pt>
                <c:pt idx="2">
                  <c:v>93</c:v>
                </c:pt>
                <c:pt idx="3">
                  <c:v>225</c:v>
                </c:pt>
                <c:pt idx="4">
                  <c:v>28</c:v>
                </c:pt>
                <c:pt idx="5">
                  <c:v>143</c:v>
                </c:pt>
                <c:pt idx="6">
                  <c:v>69</c:v>
                </c:pt>
                <c:pt idx="7">
                  <c:v>43</c:v>
                </c:pt>
                <c:pt idx="8">
                  <c:v>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13-4C4F-8EF9-2B6BAA3A4A34}"/>
            </c:ext>
          </c:extLst>
        </c:ser>
        <c:ser>
          <c:idx val="1"/>
          <c:order val="1"/>
          <c:tx>
            <c:strRef>
              <c:f>'Tables and Graphs'!$U$1:$U$2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Graphs'!$U$3:$U$12</c:f>
              <c:numCache>
                <c:formatCode>General</c:formatCode>
                <c:ptCount val="9"/>
                <c:pt idx="0">
                  <c:v>74</c:v>
                </c:pt>
                <c:pt idx="1">
                  <c:v>18</c:v>
                </c:pt>
                <c:pt idx="2">
                  <c:v>52</c:v>
                </c:pt>
                <c:pt idx="3">
                  <c:v>74</c:v>
                </c:pt>
                <c:pt idx="4">
                  <c:v>20</c:v>
                </c:pt>
                <c:pt idx="5">
                  <c:v>62</c:v>
                </c:pt>
                <c:pt idx="6">
                  <c:v>375</c:v>
                </c:pt>
                <c:pt idx="7">
                  <c:v>38</c:v>
                </c:pt>
                <c:pt idx="8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13-4C4F-8EF9-2B6BAA3A4A34}"/>
            </c:ext>
          </c:extLst>
        </c:ser>
        <c:ser>
          <c:idx val="2"/>
          <c:order val="2"/>
          <c:tx>
            <c:strRef>
              <c:f>'Tables and Graphs'!$V$1:$V$2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'Tables and Graphs'!$S$3:$S$12</c:f>
              <c:strCache>
                <c:ptCount val="9"/>
                <c:pt idx="0">
                  <c:v>01/09/2015</c:v>
                </c:pt>
                <c:pt idx="1">
                  <c:v>02/09/2015</c:v>
                </c:pt>
                <c:pt idx="2">
                  <c:v>03/09/2015</c:v>
                </c:pt>
                <c:pt idx="3">
                  <c:v>01/10/2015</c:v>
                </c:pt>
                <c:pt idx="4">
                  <c:v>02/10/2015</c:v>
                </c:pt>
                <c:pt idx="5">
                  <c:v>03/10/2015</c:v>
                </c:pt>
                <c:pt idx="6">
                  <c:v>01/11/2015</c:v>
                </c:pt>
                <c:pt idx="7">
                  <c:v>02/11/2015</c:v>
                </c:pt>
                <c:pt idx="8">
                  <c:v>03/11/2015</c:v>
                </c:pt>
              </c:strCache>
            </c:strRef>
          </c:cat>
          <c:val>
            <c:numRef>
              <c:f>'Tables and Graphs'!$V$3:$V$12</c:f>
              <c:numCache>
                <c:formatCode>General</c:formatCode>
                <c:ptCount val="9"/>
                <c:pt idx="0">
                  <c:v>87</c:v>
                </c:pt>
                <c:pt idx="1">
                  <c:v>100</c:v>
                </c:pt>
                <c:pt idx="2">
                  <c:v>81</c:v>
                </c:pt>
                <c:pt idx="3">
                  <c:v>97</c:v>
                </c:pt>
                <c:pt idx="4">
                  <c:v>92</c:v>
                </c:pt>
                <c:pt idx="5">
                  <c:v>42</c:v>
                </c:pt>
                <c:pt idx="6">
                  <c:v>93</c:v>
                </c:pt>
                <c:pt idx="7">
                  <c:v>80</c:v>
                </c:pt>
                <c:pt idx="8">
                  <c:v>147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13-4C4F-8EF9-2B6BAA3A4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749576"/>
        <c:axId val="526759376"/>
      </c:barChart>
      <c:catAx>
        <c:axId val="52674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59376"/>
        <c:crosses val="autoZero"/>
        <c:auto val="1"/>
        <c:lblAlgn val="ctr"/>
        <c:lblOffset val="100"/>
        <c:noMultiLvlLbl val="0"/>
      </c:catAx>
      <c:valAx>
        <c:axId val="52675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4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3</xdr:row>
          <xdr:rowOff>28575</xdr:rowOff>
        </xdr:from>
        <xdr:to>
          <xdr:col>11</xdr:col>
          <xdr:colOff>333375</xdr:colOff>
          <xdr:row>17</xdr:row>
          <xdr:rowOff>28575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Secondary Tables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8</xdr:row>
          <xdr:rowOff>38100</xdr:rowOff>
        </xdr:from>
        <xdr:to>
          <xdr:col>10</xdr:col>
          <xdr:colOff>523875</xdr:colOff>
          <xdr:row>11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Customers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12</xdr:row>
          <xdr:rowOff>28575</xdr:rowOff>
        </xdr:from>
        <xdr:to>
          <xdr:col>10</xdr:col>
          <xdr:colOff>495300</xdr:colOff>
          <xdr:row>15</xdr:row>
          <xdr:rowOff>104775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Discounts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20</xdr:row>
          <xdr:rowOff>180975</xdr:rowOff>
        </xdr:from>
        <xdr:to>
          <xdr:col>4</xdr:col>
          <xdr:colOff>342900</xdr:colOff>
          <xdr:row>24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20</xdr:row>
          <xdr:rowOff>123825</xdr:rowOff>
        </xdr:from>
        <xdr:to>
          <xdr:col>10</xdr:col>
          <xdr:colOff>495300</xdr:colOff>
          <xdr:row>23</xdr:row>
          <xdr:rowOff>190500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Tables and Graphs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</xdr:row>
          <xdr:rowOff>66675</xdr:rowOff>
        </xdr:from>
        <xdr:to>
          <xdr:col>4</xdr:col>
          <xdr:colOff>428625</xdr:colOff>
          <xdr:row>8</xdr:row>
          <xdr:rowOff>104775</xdr:rowOff>
        </xdr:to>
        <xdr:sp macro="" textlink="">
          <xdr:nvSpPr>
            <xdr:cNvPr id="10249" name="Group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18</xdr:row>
          <xdr:rowOff>142875</xdr:rowOff>
        </xdr:from>
        <xdr:to>
          <xdr:col>11</xdr:col>
          <xdr:colOff>342900</xdr:colOff>
          <xdr:row>26</xdr:row>
          <xdr:rowOff>28575</xdr:rowOff>
        </xdr:to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Current States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0</xdr:colOff>
      <xdr:row>0</xdr:row>
      <xdr:rowOff>41413</xdr:rowOff>
    </xdr:from>
    <xdr:ext cx="2857064" cy="468013"/>
    <xdr:sp macro="" textlink="">
      <xdr:nvSpPr>
        <xdr:cNvPr id="3" name="Rectangle 2"/>
        <xdr:cNvSpPr/>
      </xdr:nvSpPr>
      <xdr:spPr>
        <a:xfrm>
          <a:off x="0" y="41413"/>
          <a:ext cx="285706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Atlas Publications Ltd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66675</xdr:rowOff>
        </xdr:from>
        <xdr:to>
          <xdr:col>10</xdr:col>
          <xdr:colOff>523875</xdr:colOff>
          <xdr:row>11</xdr:row>
          <xdr:rowOff>104775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4</xdr:row>
          <xdr:rowOff>9525</xdr:rowOff>
        </xdr:from>
        <xdr:to>
          <xdr:col>10</xdr:col>
          <xdr:colOff>542925</xdr:colOff>
          <xdr:row>7</xdr:row>
          <xdr:rowOff>142875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4</xdr:row>
          <xdr:rowOff>66675</xdr:rowOff>
        </xdr:from>
        <xdr:to>
          <xdr:col>4</xdr:col>
          <xdr:colOff>66675</xdr:colOff>
          <xdr:row>7</xdr:row>
          <xdr:rowOff>104775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13</xdr:row>
          <xdr:rowOff>57150</xdr:rowOff>
        </xdr:from>
        <xdr:to>
          <xdr:col>11</xdr:col>
          <xdr:colOff>828675</xdr:colOff>
          <xdr:row>19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20</xdr:row>
          <xdr:rowOff>66675</xdr:rowOff>
        </xdr:from>
        <xdr:to>
          <xdr:col>11</xdr:col>
          <xdr:colOff>828675</xdr:colOff>
          <xdr:row>26</xdr:row>
          <xdr:rowOff>28575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0</xdr:row>
          <xdr:rowOff>142875</xdr:rowOff>
        </xdr:from>
        <xdr:to>
          <xdr:col>16</xdr:col>
          <xdr:colOff>66675</xdr:colOff>
          <xdr:row>4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7</xdr:row>
          <xdr:rowOff>9525</xdr:rowOff>
        </xdr:from>
        <xdr:to>
          <xdr:col>15</xdr:col>
          <xdr:colOff>190500</xdr:colOff>
          <xdr:row>10</xdr:row>
          <xdr:rowOff>66675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Summary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114300</xdr:rowOff>
        </xdr:from>
        <xdr:to>
          <xdr:col>9</xdr:col>
          <xdr:colOff>419100</xdr:colOff>
          <xdr:row>5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8</xdr:row>
          <xdr:rowOff>114300</xdr:rowOff>
        </xdr:from>
        <xdr:to>
          <xdr:col>9</xdr:col>
          <xdr:colOff>123825</xdr:colOff>
          <xdr:row>11</xdr:row>
          <xdr:rowOff>180975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Discount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28575</xdr:rowOff>
        </xdr:from>
        <xdr:to>
          <xdr:col>9</xdr:col>
          <xdr:colOff>104775</xdr:colOff>
          <xdr:row>7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9</xdr:row>
          <xdr:rowOff>47625</xdr:rowOff>
        </xdr:from>
        <xdr:to>
          <xdr:col>8</xdr:col>
          <xdr:colOff>352425</xdr:colOff>
          <xdr:row>12</xdr:row>
          <xdr:rowOff>114300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Products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38100</xdr:rowOff>
        </xdr:from>
        <xdr:to>
          <xdr:col>9</xdr:col>
          <xdr:colOff>104775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8</xdr:row>
          <xdr:rowOff>76200</xdr:rowOff>
        </xdr:from>
        <xdr:to>
          <xdr:col>8</xdr:col>
          <xdr:colOff>523875</xdr:colOff>
          <xdr:row>11</xdr:row>
          <xdr:rowOff>142875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Customer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990600</xdr:colOff>
      <xdr:row>5</xdr:row>
      <xdr:rowOff>128587</xdr:rowOff>
    </xdr:from>
    <xdr:to>
      <xdr:col>15</xdr:col>
      <xdr:colOff>495300</xdr:colOff>
      <xdr:row>16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104781</xdr:colOff>
      <xdr:row>6</xdr:row>
      <xdr:rowOff>38100</xdr:rowOff>
    </xdr:from>
    <xdr:to>
      <xdr:col>3</xdr:col>
      <xdr:colOff>228600</xdr:colOff>
      <xdr:row>17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478978</xdr:colOff>
      <xdr:row>6</xdr:row>
      <xdr:rowOff>183696</xdr:rowOff>
    </xdr:from>
    <xdr:to>
      <xdr:col>8</xdr:col>
      <xdr:colOff>1170215</xdr:colOff>
      <xdr:row>19</xdr:row>
      <xdr:rowOff>163285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802141</xdr:colOff>
      <xdr:row>20</xdr:row>
      <xdr:rowOff>189139</xdr:rowOff>
    </xdr:from>
    <xdr:to>
      <xdr:col>8</xdr:col>
      <xdr:colOff>1238250</xdr:colOff>
      <xdr:row>33</xdr:row>
      <xdr:rowOff>68035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19</xdr:row>
          <xdr:rowOff>142875</xdr:rowOff>
        </xdr:from>
        <xdr:to>
          <xdr:col>13</xdr:col>
          <xdr:colOff>561975</xdr:colOff>
          <xdr:row>24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25</xdr:row>
          <xdr:rowOff>85725</xdr:rowOff>
        </xdr:from>
        <xdr:to>
          <xdr:col>13</xdr:col>
          <xdr:colOff>295275</xdr:colOff>
          <xdr:row>28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Table and Graphs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176892</xdr:colOff>
      <xdr:row>0</xdr:row>
      <xdr:rowOff>91165</xdr:rowOff>
    </xdr:from>
    <xdr:to>
      <xdr:col>28</xdr:col>
      <xdr:colOff>326570</xdr:colOff>
      <xdr:row>16</xdr:row>
      <xdr:rowOff>13605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122465</xdr:colOff>
      <xdr:row>34</xdr:row>
      <xdr:rowOff>97972</xdr:rowOff>
    </xdr:from>
    <xdr:to>
      <xdr:col>13</xdr:col>
      <xdr:colOff>340180</xdr:colOff>
      <xdr:row>49</xdr:row>
      <xdr:rowOff>13608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394606</xdr:colOff>
      <xdr:row>34</xdr:row>
      <xdr:rowOff>29934</xdr:rowOff>
    </xdr:from>
    <xdr:to>
      <xdr:col>18</xdr:col>
      <xdr:colOff>231321</xdr:colOff>
      <xdr:row>49</xdr:row>
      <xdr:rowOff>190499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557891</xdr:colOff>
      <xdr:row>1</xdr:row>
      <xdr:rowOff>179614</xdr:rowOff>
    </xdr:from>
    <xdr:to>
      <xdr:col>39</xdr:col>
      <xdr:colOff>530678</xdr:colOff>
      <xdr:row>18</xdr:row>
      <xdr:rowOff>68036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</xdr:row>
      <xdr:rowOff>142875</xdr:rowOff>
    </xdr:from>
    <xdr:to>
      <xdr:col>4</xdr:col>
      <xdr:colOff>314325</xdr:colOff>
      <xdr:row>6</xdr:row>
      <xdr:rowOff>133350</xdr:rowOff>
    </xdr:to>
    <xdr:sp macro="" textlink="">
      <xdr:nvSpPr>
        <xdr:cNvPr id="2" name="AutoShape 72"/>
        <xdr:cNvSpPr>
          <a:spLocks noChangeArrowheads="1"/>
        </xdr:cNvSpPr>
      </xdr:nvSpPr>
      <xdr:spPr bwMode="auto">
        <a:xfrm>
          <a:off x="47625" y="1285875"/>
          <a:ext cx="2705100" cy="5715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GB" sz="1600" b="0" i="0" u="none" strike="noStrike" baseline="0">
              <a:solidFill>
                <a:srgbClr val="808080"/>
              </a:solidFill>
              <a:latin typeface="Arial"/>
              <a:cs typeface="Arial"/>
            </a:rPr>
            <a:t>Insert Your Logo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8</xdr:row>
          <xdr:rowOff>104775</xdr:rowOff>
        </xdr:from>
        <xdr:to>
          <xdr:col>19</xdr:col>
          <xdr:colOff>152400</xdr:colOff>
          <xdr:row>12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333375</xdr:colOff>
          <xdr:row>16</xdr:row>
          <xdr:rowOff>66675</xdr:rowOff>
        </xdr:from>
        <xdr:to>
          <xdr:col>19</xdr:col>
          <xdr:colOff>561975</xdr:colOff>
          <xdr:row>21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us Richardson55" refreshedDate="42473.576952546297" createdVersion="5" refreshedVersion="5" minRefreshableVersion="3" recordCount="60">
  <cacheSource type="worksheet">
    <worksheetSource ref="A1:H61" sheet="Sales"/>
  </cacheSource>
  <cacheFields count="8">
    <cacheField name="Invoice Date" numFmtId="0">
      <sharedItems containsSemiMixedTypes="0" containsString="0" containsNumber="1" containsInteger="1" minValue="42248" maxValue="42311" count="9">
        <n v="42248"/>
        <n v="42249"/>
        <n v="42250"/>
        <n v="42278"/>
        <n v="42279"/>
        <n v="42280"/>
        <n v="42309"/>
        <n v="42310"/>
        <n v="42311"/>
      </sharedItems>
    </cacheField>
    <cacheField name="Invoice Number" numFmtId="0">
      <sharedItems containsSemiMixedTypes="0" containsString="0" containsNumber="1" containsInteger="1" minValue="1001" maxValue="1036"/>
    </cacheField>
    <cacheField name="Customer" numFmtId="0">
      <sharedItems count="7">
        <s v="Gardners"/>
        <s v="Dragon"/>
        <s v="Metcalfe Ltd"/>
        <s v="Ballams"/>
        <s v="Web sale"/>
        <s v="Smiths"/>
        <s v="TES"/>
      </sharedItems>
    </cacheField>
    <cacheField name="Customer Type" numFmtId="0">
      <sharedItems/>
    </cacheField>
    <cacheField name="Product" numFmtId="0">
      <sharedItems count="3">
        <s v="A1"/>
        <s v="A2"/>
        <s v="A3"/>
      </sharedItems>
    </cacheField>
    <cacheField name="Quantity" numFmtId="0">
      <sharedItems containsSemiMixedTypes="0" containsString="0" containsNumber="1" containsInteger="1" minValue="1" maxValue="300" count="27">
        <n v="100"/>
        <n v="24"/>
        <n v="15"/>
        <n v="20"/>
        <n v="12"/>
        <n v="45"/>
        <n v="30"/>
        <n v="2"/>
        <n v="18"/>
        <n v="10"/>
        <n v="50"/>
        <n v="40"/>
        <n v="75"/>
        <n v="17"/>
        <n v="1"/>
        <n v="35"/>
        <n v="200"/>
        <n v="25"/>
        <n v="22"/>
        <n v="28"/>
        <n v="27"/>
        <n v="300"/>
        <n v="34"/>
        <n v="33"/>
        <n v="3"/>
        <n v="38"/>
        <n v="37"/>
      </sharedItems>
    </cacheField>
    <cacheField name="Retail Price" numFmtId="0">
      <sharedItems containsSemiMixedTypes="0" containsString="0" containsNumber="1" containsInteger="1" minValue="5" maxValue="2100" count="33">
        <n v="1000"/>
        <n v="168"/>
        <n v="150"/>
        <n v="140"/>
        <n v="60"/>
        <n v="225"/>
        <n v="210"/>
        <n v="20"/>
        <n v="126"/>
        <n v="50"/>
        <n v="250"/>
        <n v="200"/>
        <n v="750"/>
        <n v="119"/>
        <n v="5"/>
        <n v="180"/>
        <n v="245"/>
        <n v="2000"/>
        <n v="110"/>
        <n v="10"/>
        <n v="280"/>
        <n v="189"/>
        <n v="400"/>
        <n v="2100"/>
        <n v="340"/>
        <n v="350"/>
        <n v="165"/>
        <n v="315"/>
        <n v="30"/>
        <n v="266"/>
        <n v="375"/>
        <n v="185"/>
        <n v="175"/>
      </sharedItems>
    </cacheField>
    <cacheField name="Sales Price " numFmtId="0">
      <sharedItems containsSemiMixedTypes="0" containsString="0" containsNumber="1" minValue="5" maxValue="945" count="36">
        <n v="450"/>
        <n v="75.599999999999994"/>
        <n v="105"/>
        <n v="98"/>
        <n v="42"/>
        <n v="157.5"/>
        <n v="147"/>
        <n v="20"/>
        <n v="88.2"/>
        <n v="35"/>
        <n v="112.5"/>
        <n v="89.999999999999986"/>
        <n v="337.49999999999994"/>
        <n v="83.300000000000011"/>
        <n v="5"/>
        <n v="126"/>
        <n v="171.5"/>
        <n v="140"/>
        <n v="900"/>
        <n v="175"/>
        <n v="77"/>
        <n v="10"/>
        <n v="196"/>
        <n v="132.30000000000001"/>
        <n v="280"/>
        <n v="945"/>
        <n v="152.99999999999997"/>
        <n v="245"/>
        <n v="115.5"/>
        <n v="220.5"/>
        <n v="30"/>
        <n v="186.2"/>
        <n v="179.99999999999997"/>
        <n v="168.74999999999997"/>
        <n v="129.5"/>
        <n v="122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rius Richardson55" refreshedDate="42473.635654166668" createdVersion="5" refreshedVersion="5" minRefreshableVersion="3" recordCount="61">
  <cacheSource type="worksheet">
    <worksheetSource ref="A1:H1048576" sheet="Sales"/>
  </cacheSource>
  <cacheFields count="9">
    <cacheField name="Invoice Date" numFmtId="0">
      <sharedItems containsNonDate="0" containsDate="1" containsString="0" containsBlank="1" minDate="2015-09-01T00:00:00" maxDate="2015-11-04T00:00:00" count="10">
        <d v="2015-09-01T00:00:00"/>
        <d v="2015-09-02T00:00:00"/>
        <d v="2015-09-03T00:00:00"/>
        <d v="2015-10-01T00:00:00"/>
        <d v="2015-10-02T00:00:00"/>
        <d v="2015-10-03T00:00:00"/>
        <d v="2015-11-01T00:00:00"/>
        <d v="2015-11-02T00:00:00"/>
        <d v="2015-11-03T00:00:00"/>
        <m/>
      </sharedItems>
      <fieldGroup base="0">
        <rangePr groupBy="months" startDate="2015-09-01T00:00:00" endDate="2015-11-04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4/11/2015"/>
        </groupItems>
      </fieldGroup>
    </cacheField>
    <cacheField name="Invoice Number" numFmtId="0">
      <sharedItems containsString="0" containsBlank="1" containsNumber="1" containsInteger="1" minValue="1001" maxValue="1036"/>
    </cacheField>
    <cacheField name="Customer" numFmtId="0">
      <sharedItems containsBlank="1"/>
    </cacheField>
    <cacheField name="Customer Type" numFmtId="0">
      <sharedItems containsBlank="1"/>
    </cacheField>
    <cacheField name="Product" numFmtId="0">
      <sharedItems containsBlank="1" count="4">
        <s v="A1"/>
        <s v="A2"/>
        <s v="A3"/>
        <m/>
      </sharedItems>
    </cacheField>
    <cacheField name="Quantity" numFmtId="0">
      <sharedItems containsString="0" containsBlank="1" containsNumber="1" containsInteger="1" minValue="1" maxValue="300" count="28">
        <n v="100"/>
        <n v="24"/>
        <n v="15"/>
        <n v="20"/>
        <n v="12"/>
        <n v="45"/>
        <n v="30"/>
        <n v="2"/>
        <n v="18"/>
        <n v="10"/>
        <n v="50"/>
        <n v="40"/>
        <n v="75"/>
        <n v="17"/>
        <n v="1"/>
        <n v="35"/>
        <n v="200"/>
        <n v="25"/>
        <n v="22"/>
        <n v="28"/>
        <n v="27"/>
        <n v="300"/>
        <n v="34"/>
        <n v="33"/>
        <n v="3"/>
        <n v="38"/>
        <n v="37"/>
        <m/>
      </sharedItems>
    </cacheField>
    <cacheField name="Retail Price" numFmtId="165">
      <sharedItems containsString="0" containsBlank="1" containsNumber="1" containsInteger="1" minValue="5" maxValue="2100"/>
    </cacheField>
    <cacheField name="Sales Price " numFmtId="165">
      <sharedItems containsString="0" containsBlank="1" containsNumber="1" minValue="5" maxValue="945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rius Richardson55" refreshedDate="42487.658580902775" createdVersion="5" refreshedVersion="5" minRefreshableVersion="3" recordCount="60">
  <cacheSource type="worksheet">
    <worksheetSource ref="A1:H61" sheet="Sales"/>
  </cacheSource>
  <cacheFields count="8">
    <cacheField name="Invoice Date" numFmtId="14">
      <sharedItems containsSemiMixedTypes="0" containsNonDate="0" containsDate="1" containsString="0" minDate="2015-09-01T00:00:00" maxDate="2015-11-04T00:00:00" count="9">
        <d v="2015-09-01T00:00:00"/>
        <d v="2015-09-02T00:00:00"/>
        <d v="2015-09-03T00:00:00"/>
        <d v="2015-10-01T00:00:00"/>
        <d v="2015-10-02T00:00:00"/>
        <d v="2015-10-03T00:00:00"/>
        <d v="2015-11-01T00:00:00"/>
        <d v="2015-11-02T00:00:00"/>
        <d v="2015-11-03T00:00:00"/>
      </sharedItems>
    </cacheField>
    <cacheField name="Invoice Number" numFmtId="0">
      <sharedItems containsSemiMixedTypes="0" containsString="0" containsNumber="1" containsInteger="1" minValue="1001" maxValue="1036"/>
    </cacheField>
    <cacheField name="Customer" numFmtId="0">
      <sharedItems/>
    </cacheField>
    <cacheField name="Customer Type" numFmtId="0">
      <sharedItems/>
    </cacheField>
    <cacheField name="Product" numFmtId="0">
      <sharedItems count="3">
        <s v="A1"/>
        <s v="A2"/>
        <s v="A3"/>
      </sharedItems>
    </cacheField>
    <cacheField name="Quantity" numFmtId="0">
      <sharedItems containsSemiMixedTypes="0" containsString="0" containsNumber="1" containsInteger="1" minValue="1" maxValue="300"/>
    </cacheField>
    <cacheField name="Retail Price" numFmtId="165">
      <sharedItems containsSemiMixedTypes="0" containsString="0" containsNumber="1" containsInteger="1" minValue="5" maxValue="2100"/>
    </cacheField>
    <cacheField name="Sales Price " numFmtId="165">
      <sharedItems containsSemiMixedTypes="0" containsString="0" containsNumber="1" minValue="5" maxValue="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rius's PC" refreshedDate="42489.45128090278" createdVersion="6" refreshedVersion="6" minRefreshableVersion="3" recordCount="60">
  <cacheSource type="worksheet">
    <worksheetSource ref="A1:H61" sheet="Sales"/>
  </cacheSource>
  <cacheFields count="8">
    <cacheField name="Invoice Date" numFmtId="14">
      <sharedItems containsSemiMixedTypes="0" containsNonDate="0" containsDate="1" containsString="0" minDate="2015-09-01T00:00:00" maxDate="2015-11-04T00:00:00"/>
    </cacheField>
    <cacheField name="Invoice Number" numFmtId="0">
      <sharedItems containsSemiMixedTypes="0" containsString="0" containsNumber="1" containsInteger="1" minValue="1001" maxValue="1036"/>
    </cacheField>
    <cacheField name="Customer" numFmtId="0">
      <sharedItems count="7">
        <s v="Gardners"/>
        <s v="Dragon"/>
        <s v="Metcalfe Ltd"/>
        <s v="Ballams"/>
        <s v="Web sale"/>
        <s v="Smiths"/>
        <s v="TES"/>
      </sharedItems>
    </cacheField>
    <cacheField name="Customer Type" numFmtId="0">
      <sharedItems/>
    </cacheField>
    <cacheField name="Product" numFmtId="0">
      <sharedItems count="3">
        <s v="A1"/>
        <s v="A2"/>
        <s v="A3"/>
      </sharedItems>
    </cacheField>
    <cacheField name="Quantity" numFmtId="0">
      <sharedItems containsSemiMixedTypes="0" containsString="0" containsNumber="1" containsInteger="1" minValue="1" maxValue="300"/>
    </cacheField>
    <cacheField name="Retail Price" numFmtId="165">
      <sharedItems containsSemiMixedTypes="0" containsString="0" containsNumber="1" containsInteger="1" minValue="5" maxValue="2100"/>
    </cacheField>
    <cacheField name="Sales Price " numFmtId="165">
      <sharedItems containsSemiMixedTypes="0" containsString="0" containsNumber="1" minValue="5" maxValue="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x v="0"/>
    <n v="1001"/>
    <x v="0"/>
    <s v="Wholesaler"/>
    <x v="0"/>
    <x v="0"/>
    <x v="0"/>
    <x v="0"/>
  </r>
  <r>
    <x v="0"/>
    <n v="1001"/>
    <x v="0"/>
    <s v="Wholesaler"/>
    <x v="1"/>
    <x v="1"/>
    <x v="1"/>
    <x v="1"/>
  </r>
  <r>
    <x v="0"/>
    <n v="1002"/>
    <x v="1"/>
    <s v="Retailer"/>
    <x v="0"/>
    <x v="2"/>
    <x v="2"/>
    <x v="2"/>
  </r>
  <r>
    <x v="0"/>
    <n v="1002"/>
    <x v="1"/>
    <s v="Retailer"/>
    <x v="1"/>
    <x v="3"/>
    <x v="3"/>
    <x v="3"/>
  </r>
  <r>
    <x v="0"/>
    <n v="1002"/>
    <x v="1"/>
    <s v="Retailer"/>
    <x v="2"/>
    <x v="4"/>
    <x v="4"/>
    <x v="4"/>
  </r>
  <r>
    <x v="0"/>
    <n v="1003"/>
    <x v="2"/>
    <s v="Retailer"/>
    <x v="2"/>
    <x v="5"/>
    <x v="5"/>
    <x v="5"/>
  </r>
  <r>
    <x v="0"/>
    <n v="1004"/>
    <x v="3"/>
    <s v="Retailer"/>
    <x v="1"/>
    <x v="6"/>
    <x v="6"/>
    <x v="6"/>
  </r>
  <r>
    <x v="0"/>
    <n v="1004"/>
    <x v="3"/>
    <s v="Retailer"/>
    <x v="2"/>
    <x v="6"/>
    <x v="2"/>
    <x v="2"/>
  </r>
  <r>
    <x v="1"/>
    <n v="1005"/>
    <x v="4"/>
    <s v="Direct"/>
    <x v="0"/>
    <x v="7"/>
    <x v="7"/>
    <x v="7"/>
  </r>
  <r>
    <x v="1"/>
    <n v="1006"/>
    <x v="5"/>
    <s v="Retailer"/>
    <x v="1"/>
    <x v="8"/>
    <x v="8"/>
    <x v="8"/>
  </r>
  <r>
    <x v="1"/>
    <n v="1006"/>
    <x v="5"/>
    <s v="Retailer"/>
    <x v="2"/>
    <x v="9"/>
    <x v="9"/>
    <x v="9"/>
  </r>
  <r>
    <x v="1"/>
    <n v="1007"/>
    <x v="6"/>
    <s v="Wholesaler"/>
    <x v="2"/>
    <x v="10"/>
    <x v="10"/>
    <x v="10"/>
  </r>
  <r>
    <x v="1"/>
    <n v="1007"/>
    <x v="6"/>
    <s v="Wholesaler"/>
    <x v="2"/>
    <x v="11"/>
    <x v="11"/>
    <x v="11"/>
  </r>
  <r>
    <x v="2"/>
    <n v="1008"/>
    <x v="0"/>
    <s v="Wholesaler"/>
    <x v="0"/>
    <x v="12"/>
    <x v="12"/>
    <x v="12"/>
  </r>
  <r>
    <x v="2"/>
    <n v="1008"/>
    <x v="0"/>
    <s v="Wholesaler"/>
    <x v="2"/>
    <x v="11"/>
    <x v="11"/>
    <x v="11"/>
  </r>
  <r>
    <x v="2"/>
    <n v="1009"/>
    <x v="3"/>
    <s v="Retailer"/>
    <x v="1"/>
    <x v="13"/>
    <x v="13"/>
    <x v="13"/>
  </r>
  <r>
    <x v="2"/>
    <n v="1010"/>
    <x v="4"/>
    <s v="Direct"/>
    <x v="2"/>
    <x v="14"/>
    <x v="14"/>
    <x v="14"/>
  </r>
  <r>
    <x v="2"/>
    <n v="1011"/>
    <x v="2"/>
    <s v="Retailer"/>
    <x v="0"/>
    <x v="8"/>
    <x v="15"/>
    <x v="15"/>
  </r>
  <r>
    <x v="2"/>
    <n v="1012"/>
    <x v="1"/>
    <s v="Retailer"/>
    <x v="1"/>
    <x v="15"/>
    <x v="16"/>
    <x v="16"/>
  </r>
  <r>
    <x v="2"/>
    <n v="1012"/>
    <x v="1"/>
    <s v="Retailer"/>
    <x v="2"/>
    <x v="11"/>
    <x v="11"/>
    <x v="17"/>
  </r>
  <r>
    <x v="3"/>
    <n v="1013"/>
    <x v="0"/>
    <s v="Wholesaler"/>
    <x v="0"/>
    <x v="16"/>
    <x v="17"/>
    <x v="18"/>
  </r>
  <r>
    <x v="3"/>
    <n v="1013"/>
    <x v="0"/>
    <s v="Wholesaler"/>
    <x v="1"/>
    <x v="1"/>
    <x v="1"/>
    <x v="1"/>
  </r>
  <r>
    <x v="3"/>
    <n v="1014"/>
    <x v="1"/>
    <s v="Retailer"/>
    <x v="0"/>
    <x v="17"/>
    <x v="10"/>
    <x v="19"/>
  </r>
  <r>
    <x v="3"/>
    <n v="1014"/>
    <x v="1"/>
    <s v="Retailer"/>
    <x v="1"/>
    <x v="3"/>
    <x v="3"/>
    <x v="3"/>
  </r>
  <r>
    <x v="3"/>
    <n v="1014"/>
    <x v="1"/>
    <s v="Retailer"/>
    <x v="2"/>
    <x v="18"/>
    <x v="18"/>
    <x v="20"/>
  </r>
  <r>
    <x v="3"/>
    <n v="1015"/>
    <x v="2"/>
    <s v="Retailer"/>
    <x v="2"/>
    <x v="5"/>
    <x v="5"/>
    <x v="5"/>
  </r>
  <r>
    <x v="3"/>
    <n v="1016"/>
    <x v="3"/>
    <s v="Retailer"/>
    <x v="1"/>
    <x v="6"/>
    <x v="6"/>
    <x v="6"/>
  </r>
  <r>
    <x v="3"/>
    <n v="1016"/>
    <x v="3"/>
    <s v="Retailer"/>
    <x v="2"/>
    <x v="6"/>
    <x v="2"/>
    <x v="2"/>
  </r>
  <r>
    <x v="4"/>
    <n v="1017"/>
    <x v="4"/>
    <s v="Direct"/>
    <x v="2"/>
    <x v="7"/>
    <x v="19"/>
    <x v="21"/>
  </r>
  <r>
    <x v="4"/>
    <n v="1018"/>
    <x v="5"/>
    <s v="Retailer"/>
    <x v="0"/>
    <x v="19"/>
    <x v="20"/>
    <x v="22"/>
  </r>
  <r>
    <x v="4"/>
    <n v="1018"/>
    <x v="5"/>
    <s v="Retailer"/>
    <x v="1"/>
    <x v="3"/>
    <x v="3"/>
    <x v="3"/>
  </r>
  <r>
    <x v="4"/>
    <n v="1019"/>
    <x v="6"/>
    <s v="Wholesaler"/>
    <x v="2"/>
    <x v="10"/>
    <x v="10"/>
    <x v="10"/>
  </r>
  <r>
    <x v="4"/>
    <n v="1019"/>
    <x v="6"/>
    <s v="Wholesaler"/>
    <x v="2"/>
    <x v="11"/>
    <x v="11"/>
    <x v="11"/>
  </r>
  <r>
    <x v="5"/>
    <n v="1020"/>
    <x v="0"/>
    <s v="Wholesaler"/>
    <x v="0"/>
    <x v="12"/>
    <x v="12"/>
    <x v="12"/>
  </r>
  <r>
    <x v="5"/>
    <n v="1020"/>
    <x v="0"/>
    <s v="Wholesaler"/>
    <x v="2"/>
    <x v="11"/>
    <x v="11"/>
    <x v="11"/>
  </r>
  <r>
    <x v="5"/>
    <n v="1021"/>
    <x v="3"/>
    <s v="Retailer"/>
    <x v="1"/>
    <x v="20"/>
    <x v="21"/>
    <x v="23"/>
  </r>
  <r>
    <x v="5"/>
    <n v="1022"/>
    <x v="4"/>
    <s v="Direct"/>
    <x v="2"/>
    <x v="7"/>
    <x v="19"/>
    <x v="21"/>
  </r>
  <r>
    <x v="5"/>
    <n v="1023"/>
    <x v="2"/>
    <s v="Retailer"/>
    <x v="0"/>
    <x v="19"/>
    <x v="20"/>
    <x v="22"/>
  </r>
  <r>
    <x v="5"/>
    <n v="1024"/>
    <x v="1"/>
    <s v="Retailer"/>
    <x v="1"/>
    <x v="15"/>
    <x v="16"/>
    <x v="16"/>
  </r>
  <r>
    <x v="5"/>
    <n v="1024"/>
    <x v="1"/>
    <s v="Retailer"/>
    <x v="0"/>
    <x v="11"/>
    <x v="22"/>
    <x v="24"/>
  </r>
  <r>
    <x v="6"/>
    <n v="1025"/>
    <x v="0"/>
    <s v="Wholesaler"/>
    <x v="1"/>
    <x v="21"/>
    <x v="23"/>
    <x v="25"/>
  </r>
  <r>
    <x v="6"/>
    <n v="1025"/>
    <x v="0"/>
    <s v="Wholesaler"/>
    <x v="0"/>
    <x v="22"/>
    <x v="24"/>
    <x v="26"/>
  </r>
  <r>
    <x v="6"/>
    <n v="1026"/>
    <x v="1"/>
    <s v="Retailer"/>
    <x v="0"/>
    <x v="15"/>
    <x v="25"/>
    <x v="27"/>
  </r>
  <r>
    <x v="6"/>
    <n v="1026"/>
    <x v="1"/>
    <s v="Retailer"/>
    <x v="1"/>
    <x v="6"/>
    <x v="6"/>
    <x v="6"/>
  </r>
  <r>
    <x v="6"/>
    <n v="1026"/>
    <x v="1"/>
    <s v="Retailer"/>
    <x v="2"/>
    <x v="23"/>
    <x v="26"/>
    <x v="28"/>
  </r>
  <r>
    <x v="6"/>
    <n v="1027"/>
    <x v="2"/>
    <s v="Retailer"/>
    <x v="1"/>
    <x v="5"/>
    <x v="27"/>
    <x v="29"/>
  </r>
  <r>
    <x v="6"/>
    <n v="1028"/>
    <x v="3"/>
    <s v="Retailer"/>
    <x v="2"/>
    <x v="6"/>
    <x v="2"/>
    <x v="2"/>
  </r>
  <r>
    <x v="6"/>
    <n v="1028"/>
    <x v="3"/>
    <s v="Retailer"/>
    <x v="2"/>
    <x v="6"/>
    <x v="2"/>
    <x v="2"/>
  </r>
  <r>
    <x v="7"/>
    <n v="1029"/>
    <x v="4"/>
    <s v="Direct"/>
    <x v="0"/>
    <x v="24"/>
    <x v="28"/>
    <x v="30"/>
  </r>
  <r>
    <x v="7"/>
    <n v="1030"/>
    <x v="5"/>
    <s v="Retailer"/>
    <x v="1"/>
    <x v="25"/>
    <x v="29"/>
    <x v="31"/>
  </r>
  <r>
    <x v="7"/>
    <n v="1030"/>
    <x v="5"/>
    <s v="Retailer"/>
    <x v="2"/>
    <x v="6"/>
    <x v="2"/>
    <x v="2"/>
  </r>
  <r>
    <x v="7"/>
    <n v="1031"/>
    <x v="6"/>
    <s v="Wholesaler"/>
    <x v="2"/>
    <x v="10"/>
    <x v="10"/>
    <x v="10"/>
  </r>
  <r>
    <x v="7"/>
    <n v="1031"/>
    <x v="6"/>
    <s v="Wholesaler"/>
    <x v="0"/>
    <x v="11"/>
    <x v="22"/>
    <x v="32"/>
  </r>
  <r>
    <x v="8"/>
    <n v="1032"/>
    <x v="0"/>
    <s v="Wholesaler"/>
    <x v="2"/>
    <x v="12"/>
    <x v="30"/>
    <x v="33"/>
  </r>
  <r>
    <x v="8"/>
    <n v="1032"/>
    <x v="0"/>
    <s v="Wholesaler"/>
    <x v="1"/>
    <x v="11"/>
    <x v="20"/>
    <x v="15"/>
  </r>
  <r>
    <x v="8"/>
    <n v="1033"/>
    <x v="3"/>
    <s v="Retailer"/>
    <x v="2"/>
    <x v="26"/>
    <x v="31"/>
    <x v="34"/>
  </r>
  <r>
    <x v="8"/>
    <n v="1034"/>
    <x v="4"/>
    <s v="Direct"/>
    <x v="0"/>
    <x v="24"/>
    <x v="28"/>
    <x v="30"/>
  </r>
  <r>
    <x v="8"/>
    <n v="1035"/>
    <x v="2"/>
    <s v="Retailer"/>
    <x v="1"/>
    <x v="25"/>
    <x v="29"/>
    <x v="31"/>
  </r>
  <r>
    <x v="8"/>
    <n v="1036"/>
    <x v="1"/>
    <s v="Retailer"/>
    <x v="2"/>
    <x v="15"/>
    <x v="32"/>
    <x v="35"/>
  </r>
  <r>
    <x v="8"/>
    <n v="1036"/>
    <x v="1"/>
    <s v="Retailer"/>
    <x v="0"/>
    <x v="11"/>
    <x v="22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1">
  <r>
    <x v="0"/>
    <n v="1001"/>
    <s v="Gardners"/>
    <s v="Wholesaler"/>
    <x v="0"/>
    <x v="0"/>
    <n v="1000"/>
    <n v="450"/>
  </r>
  <r>
    <x v="0"/>
    <n v="1001"/>
    <s v="Gardners"/>
    <s v="Wholesaler"/>
    <x v="1"/>
    <x v="1"/>
    <n v="168"/>
    <n v="75.599999999999994"/>
  </r>
  <r>
    <x v="0"/>
    <n v="1002"/>
    <s v="Dragon"/>
    <s v="Retailer"/>
    <x v="0"/>
    <x v="2"/>
    <n v="150"/>
    <n v="105"/>
  </r>
  <r>
    <x v="0"/>
    <n v="1002"/>
    <s v="Dragon"/>
    <s v="Retailer"/>
    <x v="1"/>
    <x v="3"/>
    <n v="140"/>
    <n v="98"/>
  </r>
  <r>
    <x v="0"/>
    <n v="1002"/>
    <s v="Dragon"/>
    <s v="Retailer"/>
    <x v="2"/>
    <x v="4"/>
    <n v="60"/>
    <n v="42"/>
  </r>
  <r>
    <x v="0"/>
    <n v="1003"/>
    <s v="Metcalfe Ltd"/>
    <s v="Retailer"/>
    <x v="2"/>
    <x v="5"/>
    <n v="225"/>
    <n v="157.5"/>
  </r>
  <r>
    <x v="0"/>
    <n v="1004"/>
    <s v="Ballams"/>
    <s v="Retailer"/>
    <x v="1"/>
    <x v="6"/>
    <n v="210"/>
    <n v="147"/>
  </r>
  <r>
    <x v="0"/>
    <n v="1004"/>
    <s v="Ballams"/>
    <s v="Retailer"/>
    <x v="2"/>
    <x v="6"/>
    <n v="150"/>
    <n v="105"/>
  </r>
  <r>
    <x v="1"/>
    <n v="1005"/>
    <s v="Web sale"/>
    <s v="Direct"/>
    <x v="0"/>
    <x v="7"/>
    <n v="20"/>
    <n v="20"/>
  </r>
  <r>
    <x v="1"/>
    <n v="1006"/>
    <s v="Smiths"/>
    <s v="Retailer"/>
    <x v="1"/>
    <x v="8"/>
    <n v="126"/>
    <n v="88.2"/>
  </r>
  <r>
    <x v="1"/>
    <n v="1006"/>
    <s v="Smiths"/>
    <s v="Retailer"/>
    <x v="2"/>
    <x v="9"/>
    <n v="50"/>
    <n v="35"/>
  </r>
  <r>
    <x v="1"/>
    <n v="1007"/>
    <s v="TES"/>
    <s v="Wholesaler"/>
    <x v="2"/>
    <x v="10"/>
    <n v="250"/>
    <n v="112.5"/>
  </r>
  <r>
    <x v="1"/>
    <n v="1007"/>
    <s v="TES"/>
    <s v="Wholesaler"/>
    <x v="2"/>
    <x v="11"/>
    <n v="200"/>
    <n v="89.999999999999986"/>
  </r>
  <r>
    <x v="2"/>
    <n v="1008"/>
    <s v="Gardners"/>
    <s v="Wholesaler"/>
    <x v="0"/>
    <x v="12"/>
    <n v="750"/>
    <n v="337.49999999999994"/>
  </r>
  <r>
    <x v="2"/>
    <n v="1008"/>
    <s v="Gardners"/>
    <s v="Wholesaler"/>
    <x v="2"/>
    <x v="11"/>
    <n v="200"/>
    <n v="89.999999999999986"/>
  </r>
  <r>
    <x v="2"/>
    <n v="1009"/>
    <s v="Ballams"/>
    <s v="Retailer"/>
    <x v="1"/>
    <x v="13"/>
    <n v="119"/>
    <n v="83.300000000000011"/>
  </r>
  <r>
    <x v="2"/>
    <n v="1010"/>
    <s v="Web sale"/>
    <s v="Direct"/>
    <x v="2"/>
    <x v="14"/>
    <n v="5"/>
    <n v="5"/>
  </r>
  <r>
    <x v="2"/>
    <n v="1011"/>
    <s v="Metcalfe Ltd"/>
    <s v="Retailer"/>
    <x v="0"/>
    <x v="8"/>
    <n v="180"/>
    <n v="126"/>
  </r>
  <r>
    <x v="2"/>
    <n v="1012"/>
    <s v="Dragon"/>
    <s v="Retailer"/>
    <x v="1"/>
    <x v="15"/>
    <n v="245"/>
    <n v="171.5"/>
  </r>
  <r>
    <x v="2"/>
    <n v="1012"/>
    <s v="Dragon"/>
    <s v="Retailer"/>
    <x v="2"/>
    <x v="11"/>
    <n v="200"/>
    <n v="140"/>
  </r>
  <r>
    <x v="3"/>
    <n v="1013"/>
    <s v="Gardners"/>
    <s v="Wholesaler"/>
    <x v="0"/>
    <x v="16"/>
    <n v="2000"/>
    <n v="900"/>
  </r>
  <r>
    <x v="3"/>
    <n v="1013"/>
    <s v="Gardners"/>
    <s v="Wholesaler"/>
    <x v="1"/>
    <x v="1"/>
    <n v="168"/>
    <n v="75.599999999999994"/>
  </r>
  <r>
    <x v="3"/>
    <n v="1014"/>
    <s v="Dragon"/>
    <s v="Retailer"/>
    <x v="0"/>
    <x v="17"/>
    <n v="250"/>
    <n v="175"/>
  </r>
  <r>
    <x v="3"/>
    <n v="1014"/>
    <s v="Dragon"/>
    <s v="Retailer"/>
    <x v="1"/>
    <x v="3"/>
    <n v="140"/>
    <n v="98"/>
  </r>
  <r>
    <x v="3"/>
    <n v="1014"/>
    <s v="Dragon"/>
    <s v="Retailer"/>
    <x v="2"/>
    <x v="18"/>
    <n v="110"/>
    <n v="77"/>
  </r>
  <r>
    <x v="3"/>
    <n v="1015"/>
    <s v="Metcalfe Ltd"/>
    <s v="Retailer"/>
    <x v="2"/>
    <x v="5"/>
    <n v="225"/>
    <n v="157.5"/>
  </r>
  <r>
    <x v="3"/>
    <n v="1016"/>
    <s v="Ballams"/>
    <s v="Retailer"/>
    <x v="1"/>
    <x v="6"/>
    <n v="210"/>
    <n v="147"/>
  </r>
  <r>
    <x v="3"/>
    <n v="1016"/>
    <s v="Ballams"/>
    <s v="Retailer"/>
    <x v="2"/>
    <x v="6"/>
    <n v="150"/>
    <n v="105"/>
  </r>
  <r>
    <x v="4"/>
    <n v="1017"/>
    <s v="Web sale"/>
    <s v="Direct"/>
    <x v="2"/>
    <x v="7"/>
    <n v="10"/>
    <n v="10"/>
  </r>
  <r>
    <x v="4"/>
    <n v="1018"/>
    <s v="Smiths"/>
    <s v="Retailer"/>
    <x v="0"/>
    <x v="19"/>
    <n v="280"/>
    <n v="196"/>
  </r>
  <r>
    <x v="4"/>
    <n v="1018"/>
    <s v="Smiths"/>
    <s v="Retailer"/>
    <x v="1"/>
    <x v="3"/>
    <n v="140"/>
    <n v="98"/>
  </r>
  <r>
    <x v="4"/>
    <n v="1019"/>
    <s v="TES"/>
    <s v="Wholesaler"/>
    <x v="2"/>
    <x v="10"/>
    <n v="250"/>
    <n v="112.5"/>
  </r>
  <r>
    <x v="4"/>
    <n v="1019"/>
    <s v="TES"/>
    <s v="Wholesaler"/>
    <x v="2"/>
    <x v="11"/>
    <n v="200"/>
    <n v="89.999999999999986"/>
  </r>
  <r>
    <x v="5"/>
    <n v="1020"/>
    <s v="Gardners"/>
    <s v="Wholesaler"/>
    <x v="0"/>
    <x v="12"/>
    <n v="750"/>
    <n v="337.49999999999994"/>
  </r>
  <r>
    <x v="5"/>
    <n v="1020"/>
    <s v="Gardners"/>
    <s v="Wholesaler"/>
    <x v="2"/>
    <x v="11"/>
    <n v="200"/>
    <n v="89.999999999999986"/>
  </r>
  <r>
    <x v="5"/>
    <n v="1021"/>
    <s v="Ballams"/>
    <s v="Retailer"/>
    <x v="1"/>
    <x v="20"/>
    <n v="189"/>
    <n v="132.30000000000001"/>
  </r>
  <r>
    <x v="5"/>
    <n v="1022"/>
    <s v="Web sale"/>
    <s v="Direct"/>
    <x v="2"/>
    <x v="7"/>
    <n v="10"/>
    <n v="10"/>
  </r>
  <r>
    <x v="5"/>
    <n v="1023"/>
    <s v="Metcalfe Ltd"/>
    <s v="Retailer"/>
    <x v="0"/>
    <x v="19"/>
    <n v="280"/>
    <n v="196"/>
  </r>
  <r>
    <x v="5"/>
    <n v="1024"/>
    <s v="Dragon"/>
    <s v="Retailer"/>
    <x v="1"/>
    <x v="15"/>
    <n v="245"/>
    <n v="171.5"/>
  </r>
  <r>
    <x v="5"/>
    <n v="1024"/>
    <s v="Dragon"/>
    <s v="Retailer"/>
    <x v="0"/>
    <x v="11"/>
    <n v="400"/>
    <n v="280"/>
  </r>
  <r>
    <x v="6"/>
    <n v="1025"/>
    <s v="Gardners"/>
    <s v="Wholesaler"/>
    <x v="1"/>
    <x v="21"/>
    <n v="2100"/>
    <n v="945"/>
  </r>
  <r>
    <x v="6"/>
    <n v="1025"/>
    <s v="Gardners"/>
    <s v="Wholesaler"/>
    <x v="0"/>
    <x v="22"/>
    <n v="340"/>
    <n v="152.99999999999997"/>
  </r>
  <r>
    <x v="6"/>
    <n v="1026"/>
    <s v="Dragon"/>
    <s v="Retailer"/>
    <x v="0"/>
    <x v="15"/>
    <n v="350"/>
    <n v="245"/>
  </r>
  <r>
    <x v="6"/>
    <n v="1026"/>
    <s v="Dragon"/>
    <s v="Retailer"/>
    <x v="1"/>
    <x v="6"/>
    <n v="210"/>
    <n v="147"/>
  </r>
  <r>
    <x v="6"/>
    <n v="1026"/>
    <s v="Dragon"/>
    <s v="Retailer"/>
    <x v="2"/>
    <x v="23"/>
    <n v="165"/>
    <n v="115.5"/>
  </r>
  <r>
    <x v="6"/>
    <n v="1027"/>
    <s v="Metcalfe Ltd"/>
    <s v="Retailer"/>
    <x v="1"/>
    <x v="5"/>
    <n v="315"/>
    <n v="220.5"/>
  </r>
  <r>
    <x v="6"/>
    <n v="1028"/>
    <s v="Ballams"/>
    <s v="Retailer"/>
    <x v="2"/>
    <x v="6"/>
    <n v="150"/>
    <n v="105"/>
  </r>
  <r>
    <x v="6"/>
    <n v="1028"/>
    <s v="Ballams"/>
    <s v="Retailer"/>
    <x v="2"/>
    <x v="6"/>
    <n v="150"/>
    <n v="105"/>
  </r>
  <r>
    <x v="7"/>
    <n v="1029"/>
    <s v="Web sale"/>
    <s v="Direct"/>
    <x v="0"/>
    <x v="24"/>
    <n v="30"/>
    <n v="30"/>
  </r>
  <r>
    <x v="7"/>
    <n v="1030"/>
    <s v="Smiths"/>
    <s v="Retailer"/>
    <x v="1"/>
    <x v="25"/>
    <n v="266"/>
    <n v="186.2"/>
  </r>
  <r>
    <x v="7"/>
    <n v="1030"/>
    <s v="Smiths"/>
    <s v="Retailer"/>
    <x v="2"/>
    <x v="6"/>
    <n v="150"/>
    <n v="105"/>
  </r>
  <r>
    <x v="7"/>
    <n v="1031"/>
    <s v="TES"/>
    <s v="Wholesaler"/>
    <x v="2"/>
    <x v="10"/>
    <n v="250"/>
    <n v="112.5"/>
  </r>
  <r>
    <x v="7"/>
    <n v="1031"/>
    <s v="TES"/>
    <s v="Wholesaler"/>
    <x v="0"/>
    <x v="11"/>
    <n v="400"/>
    <n v="179.99999999999997"/>
  </r>
  <r>
    <x v="8"/>
    <n v="1032"/>
    <s v="Gardners"/>
    <s v="Wholesaler"/>
    <x v="2"/>
    <x v="12"/>
    <n v="375"/>
    <n v="168.74999999999997"/>
  </r>
  <r>
    <x v="8"/>
    <n v="1032"/>
    <s v="Gardners"/>
    <s v="Wholesaler"/>
    <x v="1"/>
    <x v="11"/>
    <n v="280"/>
    <n v="126"/>
  </r>
  <r>
    <x v="8"/>
    <n v="1033"/>
    <s v="Ballams"/>
    <s v="Retailer"/>
    <x v="2"/>
    <x v="26"/>
    <n v="185"/>
    <n v="129.5"/>
  </r>
  <r>
    <x v="8"/>
    <n v="1034"/>
    <s v="Web sale"/>
    <s v="Direct"/>
    <x v="0"/>
    <x v="24"/>
    <n v="30"/>
    <n v="30"/>
  </r>
  <r>
    <x v="8"/>
    <n v="1035"/>
    <s v="Metcalfe Ltd"/>
    <s v="Retailer"/>
    <x v="1"/>
    <x v="25"/>
    <n v="266"/>
    <n v="186.2"/>
  </r>
  <r>
    <x v="8"/>
    <n v="1036"/>
    <s v="Dragon"/>
    <s v="Retailer"/>
    <x v="2"/>
    <x v="15"/>
    <n v="175"/>
    <n v="122.5"/>
  </r>
  <r>
    <x v="8"/>
    <n v="1036"/>
    <s v="Dragon"/>
    <s v="Retailer"/>
    <x v="0"/>
    <x v="11"/>
    <n v="400"/>
    <n v="280"/>
  </r>
  <r>
    <x v="9"/>
    <m/>
    <m/>
    <m/>
    <x v="3"/>
    <x v="27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0">
  <r>
    <x v="0"/>
    <n v="1001"/>
    <s v="Gardners"/>
    <s v="Wholesaler"/>
    <x v="0"/>
    <n v="100"/>
    <n v="1000"/>
    <n v="450"/>
  </r>
  <r>
    <x v="0"/>
    <n v="1001"/>
    <s v="Gardners"/>
    <s v="Wholesaler"/>
    <x v="1"/>
    <n v="24"/>
    <n v="168"/>
    <n v="75.599999999999994"/>
  </r>
  <r>
    <x v="0"/>
    <n v="1002"/>
    <s v="Dragon"/>
    <s v="Retailer"/>
    <x v="0"/>
    <n v="15"/>
    <n v="150"/>
    <n v="105"/>
  </r>
  <r>
    <x v="0"/>
    <n v="1002"/>
    <s v="Dragon"/>
    <s v="Retailer"/>
    <x v="1"/>
    <n v="20"/>
    <n v="140"/>
    <n v="98"/>
  </r>
  <r>
    <x v="0"/>
    <n v="1002"/>
    <s v="Dragon"/>
    <s v="Retailer"/>
    <x v="2"/>
    <n v="12"/>
    <n v="60"/>
    <n v="42"/>
  </r>
  <r>
    <x v="0"/>
    <n v="1003"/>
    <s v="Metcalfe Ltd"/>
    <s v="Retailer"/>
    <x v="2"/>
    <n v="45"/>
    <n v="225"/>
    <n v="157.5"/>
  </r>
  <r>
    <x v="0"/>
    <n v="1004"/>
    <s v="Ballams"/>
    <s v="Retailer"/>
    <x v="1"/>
    <n v="30"/>
    <n v="210"/>
    <n v="147"/>
  </r>
  <r>
    <x v="0"/>
    <n v="1004"/>
    <s v="Ballams"/>
    <s v="Retailer"/>
    <x v="2"/>
    <n v="30"/>
    <n v="150"/>
    <n v="105"/>
  </r>
  <r>
    <x v="1"/>
    <n v="1005"/>
    <s v="Web sale"/>
    <s v="Direct"/>
    <x v="0"/>
    <n v="2"/>
    <n v="20"/>
    <n v="20"/>
  </r>
  <r>
    <x v="1"/>
    <n v="1006"/>
    <s v="Smiths"/>
    <s v="Retailer"/>
    <x v="1"/>
    <n v="18"/>
    <n v="126"/>
    <n v="88.2"/>
  </r>
  <r>
    <x v="1"/>
    <n v="1006"/>
    <s v="Smiths"/>
    <s v="Retailer"/>
    <x v="2"/>
    <n v="10"/>
    <n v="50"/>
    <n v="35"/>
  </r>
  <r>
    <x v="1"/>
    <n v="1007"/>
    <s v="TES"/>
    <s v="Wholesaler"/>
    <x v="2"/>
    <n v="50"/>
    <n v="250"/>
    <n v="112.5"/>
  </r>
  <r>
    <x v="1"/>
    <n v="1007"/>
    <s v="TES"/>
    <s v="Wholesaler"/>
    <x v="2"/>
    <n v="40"/>
    <n v="200"/>
    <n v="89.999999999999986"/>
  </r>
  <r>
    <x v="2"/>
    <n v="1008"/>
    <s v="Gardners"/>
    <s v="Wholesaler"/>
    <x v="0"/>
    <n v="75"/>
    <n v="750"/>
    <n v="337.49999999999994"/>
  </r>
  <r>
    <x v="2"/>
    <n v="1008"/>
    <s v="Gardners"/>
    <s v="Wholesaler"/>
    <x v="2"/>
    <n v="40"/>
    <n v="200"/>
    <n v="89.999999999999986"/>
  </r>
  <r>
    <x v="2"/>
    <n v="1009"/>
    <s v="Ballams"/>
    <s v="Retailer"/>
    <x v="1"/>
    <n v="17"/>
    <n v="119"/>
    <n v="83.300000000000011"/>
  </r>
  <r>
    <x v="2"/>
    <n v="1010"/>
    <s v="Web sale"/>
    <s v="Direct"/>
    <x v="2"/>
    <n v="1"/>
    <n v="5"/>
    <n v="5"/>
  </r>
  <r>
    <x v="2"/>
    <n v="1011"/>
    <s v="Metcalfe Ltd"/>
    <s v="Retailer"/>
    <x v="0"/>
    <n v="18"/>
    <n v="180"/>
    <n v="126"/>
  </r>
  <r>
    <x v="2"/>
    <n v="1012"/>
    <s v="Dragon"/>
    <s v="Retailer"/>
    <x v="1"/>
    <n v="35"/>
    <n v="245"/>
    <n v="171.5"/>
  </r>
  <r>
    <x v="2"/>
    <n v="1012"/>
    <s v="Dragon"/>
    <s v="Retailer"/>
    <x v="2"/>
    <n v="40"/>
    <n v="200"/>
    <n v="140"/>
  </r>
  <r>
    <x v="3"/>
    <n v="1013"/>
    <s v="Gardners"/>
    <s v="Wholesaler"/>
    <x v="0"/>
    <n v="200"/>
    <n v="2000"/>
    <n v="900"/>
  </r>
  <r>
    <x v="3"/>
    <n v="1013"/>
    <s v="Gardners"/>
    <s v="Wholesaler"/>
    <x v="1"/>
    <n v="24"/>
    <n v="168"/>
    <n v="75.599999999999994"/>
  </r>
  <r>
    <x v="3"/>
    <n v="1014"/>
    <s v="Dragon"/>
    <s v="Retailer"/>
    <x v="0"/>
    <n v="25"/>
    <n v="250"/>
    <n v="175"/>
  </r>
  <r>
    <x v="3"/>
    <n v="1014"/>
    <s v="Dragon"/>
    <s v="Retailer"/>
    <x v="1"/>
    <n v="20"/>
    <n v="140"/>
    <n v="98"/>
  </r>
  <r>
    <x v="3"/>
    <n v="1014"/>
    <s v="Dragon"/>
    <s v="Retailer"/>
    <x v="2"/>
    <n v="22"/>
    <n v="110"/>
    <n v="77"/>
  </r>
  <r>
    <x v="3"/>
    <n v="1015"/>
    <s v="Metcalfe Ltd"/>
    <s v="Retailer"/>
    <x v="2"/>
    <n v="45"/>
    <n v="225"/>
    <n v="157.5"/>
  </r>
  <r>
    <x v="3"/>
    <n v="1016"/>
    <s v="Ballams"/>
    <s v="Retailer"/>
    <x v="1"/>
    <n v="30"/>
    <n v="210"/>
    <n v="147"/>
  </r>
  <r>
    <x v="3"/>
    <n v="1016"/>
    <s v="Ballams"/>
    <s v="Retailer"/>
    <x v="2"/>
    <n v="30"/>
    <n v="150"/>
    <n v="105"/>
  </r>
  <r>
    <x v="4"/>
    <n v="1017"/>
    <s v="Web sale"/>
    <s v="Direct"/>
    <x v="2"/>
    <n v="2"/>
    <n v="10"/>
    <n v="10"/>
  </r>
  <r>
    <x v="4"/>
    <n v="1018"/>
    <s v="Smiths"/>
    <s v="Retailer"/>
    <x v="0"/>
    <n v="28"/>
    <n v="280"/>
    <n v="196"/>
  </r>
  <r>
    <x v="4"/>
    <n v="1018"/>
    <s v="Smiths"/>
    <s v="Retailer"/>
    <x v="1"/>
    <n v="20"/>
    <n v="140"/>
    <n v="98"/>
  </r>
  <r>
    <x v="4"/>
    <n v="1019"/>
    <s v="TES"/>
    <s v="Wholesaler"/>
    <x v="2"/>
    <n v="50"/>
    <n v="250"/>
    <n v="112.5"/>
  </r>
  <r>
    <x v="4"/>
    <n v="1019"/>
    <s v="TES"/>
    <s v="Wholesaler"/>
    <x v="2"/>
    <n v="40"/>
    <n v="200"/>
    <n v="89.999999999999986"/>
  </r>
  <r>
    <x v="5"/>
    <n v="1020"/>
    <s v="Gardners"/>
    <s v="Wholesaler"/>
    <x v="0"/>
    <n v="75"/>
    <n v="750"/>
    <n v="337.49999999999994"/>
  </r>
  <r>
    <x v="5"/>
    <n v="1020"/>
    <s v="Gardners"/>
    <s v="Wholesaler"/>
    <x v="2"/>
    <n v="40"/>
    <n v="200"/>
    <n v="89.999999999999986"/>
  </r>
  <r>
    <x v="5"/>
    <n v="1021"/>
    <s v="Ballams"/>
    <s v="Retailer"/>
    <x v="1"/>
    <n v="27"/>
    <n v="189"/>
    <n v="132.30000000000001"/>
  </r>
  <r>
    <x v="5"/>
    <n v="1022"/>
    <s v="Web sale"/>
    <s v="Direct"/>
    <x v="2"/>
    <n v="2"/>
    <n v="10"/>
    <n v="10"/>
  </r>
  <r>
    <x v="5"/>
    <n v="1023"/>
    <s v="Metcalfe Ltd"/>
    <s v="Retailer"/>
    <x v="0"/>
    <n v="28"/>
    <n v="280"/>
    <n v="196"/>
  </r>
  <r>
    <x v="5"/>
    <n v="1024"/>
    <s v="Dragon"/>
    <s v="Retailer"/>
    <x v="1"/>
    <n v="35"/>
    <n v="245"/>
    <n v="171.5"/>
  </r>
  <r>
    <x v="5"/>
    <n v="1024"/>
    <s v="Dragon"/>
    <s v="Retailer"/>
    <x v="0"/>
    <n v="40"/>
    <n v="400"/>
    <n v="280"/>
  </r>
  <r>
    <x v="6"/>
    <n v="1025"/>
    <s v="Gardners"/>
    <s v="Wholesaler"/>
    <x v="1"/>
    <n v="300"/>
    <n v="2100"/>
    <n v="945"/>
  </r>
  <r>
    <x v="6"/>
    <n v="1025"/>
    <s v="Gardners"/>
    <s v="Wholesaler"/>
    <x v="0"/>
    <n v="34"/>
    <n v="340"/>
    <n v="152.99999999999997"/>
  </r>
  <r>
    <x v="6"/>
    <n v="1026"/>
    <s v="Dragon"/>
    <s v="Retailer"/>
    <x v="0"/>
    <n v="35"/>
    <n v="350"/>
    <n v="245"/>
  </r>
  <r>
    <x v="6"/>
    <n v="1026"/>
    <s v="Dragon"/>
    <s v="Retailer"/>
    <x v="1"/>
    <n v="30"/>
    <n v="210"/>
    <n v="147"/>
  </r>
  <r>
    <x v="6"/>
    <n v="1026"/>
    <s v="Dragon"/>
    <s v="Retailer"/>
    <x v="2"/>
    <n v="33"/>
    <n v="165"/>
    <n v="115.5"/>
  </r>
  <r>
    <x v="6"/>
    <n v="1027"/>
    <s v="Metcalfe Ltd"/>
    <s v="Retailer"/>
    <x v="1"/>
    <n v="45"/>
    <n v="315"/>
    <n v="220.5"/>
  </r>
  <r>
    <x v="6"/>
    <n v="1028"/>
    <s v="Ballams"/>
    <s v="Retailer"/>
    <x v="2"/>
    <n v="30"/>
    <n v="150"/>
    <n v="105"/>
  </r>
  <r>
    <x v="6"/>
    <n v="1028"/>
    <s v="Ballams"/>
    <s v="Retailer"/>
    <x v="2"/>
    <n v="30"/>
    <n v="150"/>
    <n v="105"/>
  </r>
  <r>
    <x v="7"/>
    <n v="1029"/>
    <s v="Web sale"/>
    <s v="Direct"/>
    <x v="0"/>
    <n v="3"/>
    <n v="30"/>
    <n v="30"/>
  </r>
  <r>
    <x v="7"/>
    <n v="1030"/>
    <s v="Smiths"/>
    <s v="Retailer"/>
    <x v="1"/>
    <n v="38"/>
    <n v="266"/>
    <n v="186.2"/>
  </r>
  <r>
    <x v="7"/>
    <n v="1030"/>
    <s v="Smiths"/>
    <s v="Retailer"/>
    <x v="2"/>
    <n v="30"/>
    <n v="150"/>
    <n v="105"/>
  </r>
  <r>
    <x v="7"/>
    <n v="1031"/>
    <s v="TES"/>
    <s v="Wholesaler"/>
    <x v="2"/>
    <n v="50"/>
    <n v="250"/>
    <n v="112.5"/>
  </r>
  <r>
    <x v="7"/>
    <n v="1031"/>
    <s v="TES"/>
    <s v="Wholesaler"/>
    <x v="0"/>
    <n v="40"/>
    <n v="400"/>
    <n v="179.99999999999997"/>
  </r>
  <r>
    <x v="8"/>
    <n v="1032"/>
    <s v="Gardners"/>
    <s v="Wholesaler"/>
    <x v="2"/>
    <n v="75"/>
    <n v="375"/>
    <n v="168.74999999999997"/>
  </r>
  <r>
    <x v="8"/>
    <n v="1032"/>
    <s v="Gardners"/>
    <s v="Wholesaler"/>
    <x v="1"/>
    <n v="40"/>
    <n v="280"/>
    <n v="126"/>
  </r>
  <r>
    <x v="8"/>
    <n v="1033"/>
    <s v="Ballams"/>
    <s v="Retailer"/>
    <x v="2"/>
    <n v="37"/>
    <n v="185"/>
    <n v="129.5"/>
  </r>
  <r>
    <x v="8"/>
    <n v="1034"/>
    <s v="Web sale"/>
    <s v="Direct"/>
    <x v="0"/>
    <n v="3"/>
    <n v="30"/>
    <n v="30"/>
  </r>
  <r>
    <x v="8"/>
    <n v="1035"/>
    <s v="Metcalfe Ltd"/>
    <s v="Retailer"/>
    <x v="1"/>
    <n v="38"/>
    <n v="266"/>
    <n v="186.2"/>
  </r>
  <r>
    <x v="8"/>
    <n v="1036"/>
    <s v="Dragon"/>
    <s v="Retailer"/>
    <x v="2"/>
    <n v="35"/>
    <n v="175"/>
    <n v="122.5"/>
  </r>
  <r>
    <x v="8"/>
    <n v="1036"/>
    <s v="Dragon"/>
    <s v="Retailer"/>
    <x v="0"/>
    <n v="40"/>
    <n v="400"/>
    <n v="28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0">
  <r>
    <d v="2015-09-01T00:00:00"/>
    <n v="1001"/>
    <x v="0"/>
    <s v="Wholesaler"/>
    <x v="0"/>
    <n v="100"/>
    <n v="1000"/>
    <n v="450"/>
  </r>
  <r>
    <d v="2015-09-01T00:00:00"/>
    <n v="1001"/>
    <x v="0"/>
    <s v="Wholesaler"/>
    <x v="1"/>
    <n v="24"/>
    <n v="168"/>
    <n v="75.599999999999994"/>
  </r>
  <r>
    <d v="2015-09-01T00:00:00"/>
    <n v="1002"/>
    <x v="1"/>
    <s v="Retailer"/>
    <x v="0"/>
    <n v="15"/>
    <n v="150"/>
    <n v="105"/>
  </r>
  <r>
    <d v="2015-09-01T00:00:00"/>
    <n v="1002"/>
    <x v="1"/>
    <s v="Retailer"/>
    <x v="1"/>
    <n v="20"/>
    <n v="140"/>
    <n v="98"/>
  </r>
  <r>
    <d v="2015-09-01T00:00:00"/>
    <n v="1002"/>
    <x v="1"/>
    <s v="Retailer"/>
    <x v="2"/>
    <n v="12"/>
    <n v="60"/>
    <n v="42"/>
  </r>
  <r>
    <d v="2015-09-01T00:00:00"/>
    <n v="1003"/>
    <x v="2"/>
    <s v="Retailer"/>
    <x v="2"/>
    <n v="45"/>
    <n v="225"/>
    <n v="157.5"/>
  </r>
  <r>
    <d v="2015-09-01T00:00:00"/>
    <n v="1004"/>
    <x v="3"/>
    <s v="Retailer"/>
    <x v="1"/>
    <n v="30"/>
    <n v="210"/>
    <n v="147"/>
  </r>
  <r>
    <d v="2015-09-01T00:00:00"/>
    <n v="1004"/>
    <x v="3"/>
    <s v="Retailer"/>
    <x v="2"/>
    <n v="30"/>
    <n v="150"/>
    <n v="105"/>
  </r>
  <r>
    <d v="2015-09-02T00:00:00"/>
    <n v="1005"/>
    <x v="4"/>
    <s v="Direct"/>
    <x v="0"/>
    <n v="2"/>
    <n v="20"/>
    <n v="20"/>
  </r>
  <r>
    <d v="2015-09-02T00:00:00"/>
    <n v="1006"/>
    <x v="5"/>
    <s v="Retailer"/>
    <x v="1"/>
    <n v="18"/>
    <n v="126"/>
    <n v="88.2"/>
  </r>
  <r>
    <d v="2015-09-02T00:00:00"/>
    <n v="1006"/>
    <x v="5"/>
    <s v="Retailer"/>
    <x v="2"/>
    <n v="10"/>
    <n v="50"/>
    <n v="35"/>
  </r>
  <r>
    <d v="2015-09-02T00:00:00"/>
    <n v="1007"/>
    <x v="6"/>
    <s v="Wholesaler"/>
    <x v="2"/>
    <n v="50"/>
    <n v="250"/>
    <n v="112.5"/>
  </r>
  <r>
    <d v="2015-09-02T00:00:00"/>
    <n v="1007"/>
    <x v="6"/>
    <s v="Wholesaler"/>
    <x v="2"/>
    <n v="40"/>
    <n v="200"/>
    <n v="89.999999999999986"/>
  </r>
  <r>
    <d v="2015-09-03T00:00:00"/>
    <n v="1008"/>
    <x v="0"/>
    <s v="Wholesaler"/>
    <x v="0"/>
    <n v="75"/>
    <n v="750"/>
    <n v="337.49999999999994"/>
  </r>
  <r>
    <d v="2015-09-03T00:00:00"/>
    <n v="1008"/>
    <x v="0"/>
    <s v="Wholesaler"/>
    <x v="2"/>
    <n v="40"/>
    <n v="200"/>
    <n v="89.999999999999986"/>
  </r>
  <r>
    <d v="2015-09-03T00:00:00"/>
    <n v="1009"/>
    <x v="3"/>
    <s v="Retailer"/>
    <x v="1"/>
    <n v="17"/>
    <n v="119"/>
    <n v="83.300000000000011"/>
  </r>
  <r>
    <d v="2015-09-03T00:00:00"/>
    <n v="1010"/>
    <x v="4"/>
    <s v="Direct"/>
    <x v="2"/>
    <n v="1"/>
    <n v="5"/>
    <n v="5"/>
  </r>
  <r>
    <d v="2015-09-03T00:00:00"/>
    <n v="1011"/>
    <x v="2"/>
    <s v="Retailer"/>
    <x v="0"/>
    <n v="18"/>
    <n v="180"/>
    <n v="126"/>
  </r>
  <r>
    <d v="2015-09-03T00:00:00"/>
    <n v="1012"/>
    <x v="1"/>
    <s v="Retailer"/>
    <x v="1"/>
    <n v="35"/>
    <n v="245"/>
    <n v="171.5"/>
  </r>
  <r>
    <d v="2015-09-03T00:00:00"/>
    <n v="1012"/>
    <x v="1"/>
    <s v="Retailer"/>
    <x v="2"/>
    <n v="40"/>
    <n v="200"/>
    <n v="140"/>
  </r>
  <r>
    <d v="2015-10-01T00:00:00"/>
    <n v="1013"/>
    <x v="0"/>
    <s v="Wholesaler"/>
    <x v="0"/>
    <n v="200"/>
    <n v="2000"/>
    <n v="900"/>
  </r>
  <r>
    <d v="2015-10-01T00:00:00"/>
    <n v="1013"/>
    <x v="0"/>
    <s v="Wholesaler"/>
    <x v="1"/>
    <n v="24"/>
    <n v="168"/>
    <n v="75.599999999999994"/>
  </r>
  <r>
    <d v="2015-10-01T00:00:00"/>
    <n v="1014"/>
    <x v="1"/>
    <s v="Retailer"/>
    <x v="0"/>
    <n v="25"/>
    <n v="250"/>
    <n v="175"/>
  </r>
  <r>
    <d v="2015-10-01T00:00:00"/>
    <n v="1014"/>
    <x v="1"/>
    <s v="Retailer"/>
    <x v="1"/>
    <n v="20"/>
    <n v="140"/>
    <n v="98"/>
  </r>
  <r>
    <d v="2015-10-01T00:00:00"/>
    <n v="1014"/>
    <x v="1"/>
    <s v="Retailer"/>
    <x v="2"/>
    <n v="22"/>
    <n v="110"/>
    <n v="77"/>
  </r>
  <r>
    <d v="2015-10-01T00:00:00"/>
    <n v="1015"/>
    <x v="2"/>
    <s v="Retailer"/>
    <x v="2"/>
    <n v="45"/>
    <n v="225"/>
    <n v="157.5"/>
  </r>
  <r>
    <d v="2015-10-01T00:00:00"/>
    <n v="1016"/>
    <x v="3"/>
    <s v="Retailer"/>
    <x v="1"/>
    <n v="30"/>
    <n v="210"/>
    <n v="147"/>
  </r>
  <r>
    <d v="2015-10-01T00:00:00"/>
    <n v="1016"/>
    <x v="3"/>
    <s v="Retailer"/>
    <x v="2"/>
    <n v="30"/>
    <n v="150"/>
    <n v="105"/>
  </r>
  <r>
    <d v="2015-10-02T00:00:00"/>
    <n v="1017"/>
    <x v="4"/>
    <s v="Direct"/>
    <x v="2"/>
    <n v="2"/>
    <n v="10"/>
    <n v="10"/>
  </r>
  <r>
    <d v="2015-10-02T00:00:00"/>
    <n v="1018"/>
    <x v="5"/>
    <s v="Retailer"/>
    <x v="0"/>
    <n v="28"/>
    <n v="280"/>
    <n v="196"/>
  </r>
  <r>
    <d v="2015-10-02T00:00:00"/>
    <n v="1018"/>
    <x v="5"/>
    <s v="Retailer"/>
    <x v="1"/>
    <n v="20"/>
    <n v="140"/>
    <n v="98"/>
  </r>
  <r>
    <d v="2015-10-02T00:00:00"/>
    <n v="1019"/>
    <x v="6"/>
    <s v="Wholesaler"/>
    <x v="2"/>
    <n v="50"/>
    <n v="250"/>
    <n v="112.5"/>
  </r>
  <r>
    <d v="2015-10-02T00:00:00"/>
    <n v="1019"/>
    <x v="6"/>
    <s v="Wholesaler"/>
    <x v="2"/>
    <n v="40"/>
    <n v="200"/>
    <n v="89.999999999999986"/>
  </r>
  <r>
    <d v="2015-10-03T00:00:00"/>
    <n v="1020"/>
    <x v="0"/>
    <s v="Wholesaler"/>
    <x v="0"/>
    <n v="75"/>
    <n v="750"/>
    <n v="337.49999999999994"/>
  </r>
  <r>
    <d v="2015-10-03T00:00:00"/>
    <n v="1020"/>
    <x v="0"/>
    <s v="Wholesaler"/>
    <x v="2"/>
    <n v="40"/>
    <n v="200"/>
    <n v="89.999999999999986"/>
  </r>
  <r>
    <d v="2015-10-03T00:00:00"/>
    <n v="1021"/>
    <x v="3"/>
    <s v="Retailer"/>
    <x v="1"/>
    <n v="27"/>
    <n v="189"/>
    <n v="132.30000000000001"/>
  </r>
  <r>
    <d v="2015-10-03T00:00:00"/>
    <n v="1022"/>
    <x v="4"/>
    <s v="Direct"/>
    <x v="2"/>
    <n v="2"/>
    <n v="10"/>
    <n v="10"/>
  </r>
  <r>
    <d v="2015-10-03T00:00:00"/>
    <n v="1023"/>
    <x v="2"/>
    <s v="Retailer"/>
    <x v="0"/>
    <n v="28"/>
    <n v="280"/>
    <n v="196"/>
  </r>
  <r>
    <d v="2015-10-03T00:00:00"/>
    <n v="1024"/>
    <x v="1"/>
    <s v="Retailer"/>
    <x v="1"/>
    <n v="35"/>
    <n v="245"/>
    <n v="171.5"/>
  </r>
  <r>
    <d v="2015-10-03T00:00:00"/>
    <n v="1024"/>
    <x v="1"/>
    <s v="Retailer"/>
    <x v="0"/>
    <n v="40"/>
    <n v="400"/>
    <n v="280"/>
  </r>
  <r>
    <d v="2015-11-01T00:00:00"/>
    <n v="1025"/>
    <x v="0"/>
    <s v="Wholesaler"/>
    <x v="1"/>
    <n v="300"/>
    <n v="2100"/>
    <n v="945"/>
  </r>
  <r>
    <d v="2015-11-01T00:00:00"/>
    <n v="1025"/>
    <x v="0"/>
    <s v="Wholesaler"/>
    <x v="0"/>
    <n v="34"/>
    <n v="340"/>
    <n v="152.99999999999997"/>
  </r>
  <r>
    <d v="2015-11-01T00:00:00"/>
    <n v="1026"/>
    <x v="1"/>
    <s v="Retailer"/>
    <x v="0"/>
    <n v="35"/>
    <n v="350"/>
    <n v="245"/>
  </r>
  <r>
    <d v="2015-11-01T00:00:00"/>
    <n v="1026"/>
    <x v="1"/>
    <s v="Retailer"/>
    <x v="1"/>
    <n v="30"/>
    <n v="210"/>
    <n v="147"/>
  </r>
  <r>
    <d v="2015-11-01T00:00:00"/>
    <n v="1026"/>
    <x v="1"/>
    <s v="Retailer"/>
    <x v="2"/>
    <n v="33"/>
    <n v="165"/>
    <n v="115.5"/>
  </r>
  <r>
    <d v="2015-11-01T00:00:00"/>
    <n v="1027"/>
    <x v="2"/>
    <s v="Retailer"/>
    <x v="1"/>
    <n v="45"/>
    <n v="315"/>
    <n v="220.5"/>
  </r>
  <r>
    <d v="2015-11-01T00:00:00"/>
    <n v="1028"/>
    <x v="3"/>
    <s v="Retailer"/>
    <x v="2"/>
    <n v="30"/>
    <n v="150"/>
    <n v="105"/>
  </r>
  <r>
    <d v="2015-11-01T00:00:00"/>
    <n v="1028"/>
    <x v="3"/>
    <s v="Retailer"/>
    <x v="2"/>
    <n v="30"/>
    <n v="150"/>
    <n v="105"/>
  </r>
  <r>
    <d v="2015-11-02T00:00:00"/>
    <n v="1029"/>
    <x v="4"/>
    <s v="Direct"/>
    <x v="0"/>
    <n v="3"/>
    <n v="30"/>
    <n v="30"/>
  </r>
  <r>
    <d v="2015-11-02T00:00:00"/>
    <n v="1030"/>
    <x v="5"/>
    <s v="Retailer"/>
    <x v="1"/>
    <n v="38"/>
    <n v="266"/>
    <n v="186.2"/>
  </r>
  <r>
    <d v="2015-11-02T00:00:00"/>
    <n v="1030"/>
    <x v="5"/>
    <s v="Retailer"/>
    <x v="2"/>
    <n v="30"/>
    <n v="150"/>
    <n v="105"/>
  </r>
  <r>
    <d v="2015-11-02T00:00:00"/>
    <n v="1031"/>
    <x v="6"/>
    <s v="Wholesaler"/>
    <x v="2"/>
    <n v="50"/>
    <n v="250"/>
    <n v="112.5"/>
  </r>
  <r>
    <d v="2015-11-02T00:00:00"/>
    <n v="1031"/>
    <x v="6"/>
    <s v="Wholesaler"/>
    <x v="0"/>
    <n v="40"/>
    <n v="400"/>
    <n v="179.99999999999997"/>
  </r>
  <r>
    <d v="2015-11-03T00:00:00"/>
    <n v="1032"/>
    <x v="0"/>
    <s v="Wholesaler"/>
    <x v="2"/>
    <n v="75"/>
    <n v="375"/>
    <n v="168.74999999999997"/>
  </r>
  <r>
    <d v="2015-11-03T00:00:00"/>
    <n v="1032"/>
    <x v="0"/>
    <s v="Wholesaler"/>
    <x v="1"/>
    <n v="40"/>
    <n v="280"/>
    <n v="126"/>
  </r>
  <r>
    <d v="2015-11-03T00:00:00"/>
    <n v="1033"/>
    <x v="3"/>
    <s v="Retailer"/>
    <x v="2"/>
    <n v="37"/>
    <n v="185"/>
    <n v="129.5"/>
  </r>
  <r>
    <d v="2015-11-03T00:00:00"/>
    <n v="1034"/>
    <x v="4"/>
    <s v="Direct"/>
    <x v="0"/>
    <n v="3"/>
    <n v="30"/>
    <n v="30"/>
  </r>
  <r>
    <d v="2015-11-03T00:00:00"/>
    <n v="1035"/>
    <x v="2"/>
    <s v="Retailer"/>
    <x v="1"/>
    <n v="38"/>
    <n v="266"/>
    <n v="186.2"/>
  </r>
  <r>
    <d v="2015-11-03T00:00:00"/>
    <n v="1036"/>
    <x v="1"/>
    <s v="Retailer"/>
    <x v="2"/>
    <n v="35"/>
    <n v="175"/>
    <n v="122.5"/>
  </r>
  <r>
    <d v="2015-11-03T00:00:00"/>
    <n v="1036"/>
    <x v="1"/>
    <s v="Retailer"/>
    <x v="0"/>
    <n v="40"/>
    <n v="400"/>
    <n v="2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6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 rowHeaderCaption="Products">
  <location ref="M1:O5" firstHeaderRow="0" firstDataRow="1" firstDataCol="1"/>
  <pivotFields count="8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 Retail Price (£)" fld="6" baseField="0" baseItem="0" numFmtId="44"/>
    <dataField name="Sales Price (%) " fld="7" showDataAs="percentOfTotal" baseField="4" baseItem="0" numFmtId="10"/>
  </dataFields>
  <formats count="2">
    <format dxfId="2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4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rowHeaderCaption="Customers" colHeaderCaption="Products">
  <location ref="C37:G46" firstHeaderRow="1" firstDataRow="2" firstDataCol="1"/>
  <pivotFields count="8">
    <pivotField numFmtId="14" showAll="0"/>
    <pivotField showAll="0"/>
    <pivotField axis="axisRow" showAll="0">
      <items count="8">
        <item x="3"/>
        <item x="1"/>
        <item x="0"/>
        <item x="2"/>
        <item x="5"/>
        <item x="6"/>
        <item x="4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numFmtId="165" showAll="0"/>
    <pivotField dataField="1" numFmtId="165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Sales Price " fld="7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 rowHeaderCaption="Days">
  <location ref="S1:W12" firstHeaderRow="1" firstDataRow="2" firstDataCol="1"/>
  <pivotFields count="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dataField="1" showAll="0"/>
    <pivotField numFmtId="165" showAll="0"/>
    <pivotField numFmtId="165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Quantity" fld="5" baseField="0" baseItem="0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35" rowHeaderCaption="Months" colHeaderCaption="">
  <location ref="E1:I6" firstHeaderRow="1" firstDataRow="2" firstDataCol="1"/>
  <pivotFields count="9"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dataField="1" showAll="0">
      <items count="29">
        <item x="14"/>
        <item x="7"/>
        <item x="24"/>
        <item x="9"/>
        <item x="4"/>
        <item x="2"/>
        <item x="13"/>
        <item x="8"/>
        <item x="3"/>
        <item x="18"/>
        <item x="1"/>
        <item x="17"/>
        <item x="20"/>
        <item x="19"/>
        <item x="6"/>
        <item x="23"/>
        <item x="22"/>
        <item x="15"/>
        <item x="26"/>
        <item x="25"/>
        <item x="11"/>
        <item x="5"/>
        <item x="10"/>
        <item x="12"/>
        <item x="0"/>
        <item x="16"/>
        <item x="21"/>
        <item x="27"/>
        <item t="default"/>
      </items>
    </pivotField>
    <pivotField showAll="0"/>
    <pivotField showAll="0"/>
    <pivotField dragToRow="0" dragToCol="0" dragToPage="0" showAll="0" defaultSubtotal="0"/>
  </pivotFields>
  <rowFields count="1">
    <field x="0"/>
  </rowFields>
  <rowItems count="4">
    <i>
      <x v="9"/>
    </i>
    <i>
      <x v="10"/>
    </i>
    <i>
      <x v="1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ales per month" fld="5" baseField="0" baseItem="9"/>
  </dataFields>
  <chartFormats count="15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5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5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5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20" rowHeaderCaption="Products">
  <location ref="A1:C5" firstHeaderRow="0" firstDataRow="1" firstDataCol="1"/>
  <pivotFields count="9"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Row" showAll="0">
      <items count="5">
        <item x="0"/>
        <item x="1"/>
        <item x="2"/>
        <item h="1" x="3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ty (#)" fld="5" baseField="4" baseItem="0"/>
    <dataField name="Quantity (%)" fld="5" showDataAs="percentOfTotal" baseField="4" baseItem="0" numFmtId="10"/>
  </dataFields>
  <chartFormats count="10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7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22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E12"/>
  <sheetViews>
    <sheetView showGridLines="0" showRowColHeaders="0" zoomScale="115" zoomScaleNormal="115" zoomScalePageLayoutView="115" workbookViewId="0">
      <selection activeCell="D30" sqref="D30"/>
    </sheetView>
  </sheetViews>
  <sheetFormatPr defaultColWidth="8.85546875" defaultRowHeight="15" x14ac:dyDescent="0.25"/>
  <sheetData>
    <row r="12" spans="5:5" x14ac:dyDescent="0.25">
      <c r="E12" t="s">
        <v>50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Group Box 2">
              <controlPr defaultSize="0" autoFill="0" autoPict="0">
                <anchor moveWithCells="1">
                  <from>
                    <xdr:col>6</xdr:col>
                    <xdr:colOff>219075</xdr:colOff>
                    <xdr:row>3</xdr:row>
                    <xdr:rowOff>28575</xdr:rowOff>
                  </from>
                  <to>
                    <xdr:col>11</xdr:col>
                    <xdr:colOff>333375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autoFill="0" autoPict="0" macro="[0]!OpenCustomers">
                <anchor moveWithCells="1" sizeWithCells="1">
                  <from>
                    <xdr:col>6</xdr:col>
                    <xdr:colOff>533400</xdr:colOff>
                    <xdr:row>8</xdr:row>
                    <xdr:rowOff>38100</xdr:rowOff>
                  </from>
                  <to>
                    <xdr:col>10</xdr:col>
                    <xdr:colOff>523875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autoFill="0" autoPict="0" macro="[0]!OpenDiscount">
                <anchor moveWithCells="1" sizeWithCells="1">
                  <from>
                    <xdr:col>6</xdr:col>
                    <xdr:colOff>533400</xdr:colOff>
                    <xdr:row>12</xdr:row>
                    <xdr:rowOff>28575</xdr:rowOff>
                  </from>
                  <to>
                    <xdr:col>10</xdr:col>
                    <xdr:colOff>495300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7" name="Button 7">
              <controlPr defaultSize="0" autoFill="0" autoPict="0" macro="[0]!OpenSummary">
                <anchor moveWithCells="1">
                  <from>
                    <xdr:col>0</xdr:col>
                    <xdr:colOff>371475</xdr:colOff>
                    <xdr:row>20</xdr:row>
                    <xdr:rowOff>180975</xdr:rowOff>
                  </from>
                  <to>
                    <xdr:col>4</xdr:col>
                    <xdr:colOff>342900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8" name="Button 8">
              <controlPr defaultSize="0" autoFill="0" autoPict="0" macro="[0]!OpenTablesandGraphs">
                <anchor moveWithCells="1">
                  <from>
                    <xdr:col>6</xdr:col>
                    <xdr:colOff>523875</xdr:colOff>
                    <xdr:row>20</xdr:row>
                    <xdr:rowOff>123825</xdr:rowOff>
                  </from>
                  <to>
                    <xdr:col>10</xdr:col>
                    <xdr:colOff>495300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9" name="Group Box 9">
              <controlPr defaultSize="0" autoFill="0" autoPict="0">
                <anchor moveWithCells="1">
                  <from>
                    <xdr:col>0</xdr:col>
                    <xdr:colOff>104775</xdr:colOff>
                    <xdr:row>3</xdr:row>
                    <xdr:rowOff>66675</xdr:rowOff>
                  </from>
                  <to>
                    <xdr:col>4</xdr:col>
                    <xdr:colOff>428625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0" name="Group Box 10">
              <controlPr defaultSize="0" autoFill="0" autoPict="0">
                <anchor moveWithCells="1">
                  <from>
                    <xdr:col>0</xdr:col>
                    <xdr:colOff>238125</xdr:colOff>
                    <xdr:row>18</xdr:row>
                    <xdr:rowOff>142875</xdr:rowOff>
                  </from>
                  <to>
                    <xdr:col>11</xdr:col>
                    <xdr:colOff>342900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Openproducts">
                <anchor moveWithCells="1" sizeWithCells="1">
                  <from>
                    <xdr:col>6</xdr:col>
                    <xdr:colOff>542925</xdr:colOff>
                    <xdr:row>8</xdr:row>
                    <xdr:rowOff>66675</xdr:rowOff>
                  </from>
                  <to>
                    <xdr:col>10</xdr:col>
                    <xdr:colOff>523875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2" name="Button 16">
              <controlPr defaultSize="0" print="0" autoFill="0" autoPict="0" macro="[0]!OpenCustomers">
                <anchor moveWithCells="1" sizeWithCells="1">
                  <from>
                    <xdr:col>6</xdr:col>
                    <xdr:colOff>495300</xdr:colOff>
                    <xdr:row>4</xdr:row>
                    <xdr:rowOff>9525</xdr:rowOff>
                  </from>
                  <to>
                    <xdr:col>10</xdr:col>
                    <xdr:colOff>542925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3" name="Button 20">
              <controlPr defaultSize="0" print="0" autoFill="0" autoPict="0" macro="[0]!OpenInvoices">
                <anchor moveWithCells="1" sizeWithCells="1">
                  <from>
                    <xdr:col>0</xdr:col>
                    <xdr:colOff>409575</xdr:colOff>
                    <xdr:row>4</xdr:row>
                    <xdr:rowOff>66675</xdr:rowOff>
                  </from>
                  <to>
                    <xdr:col>4</xdr:col>
                    <xdr:colOff>66675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1"/>
  <sheetViews>
    <sheetView workbookViewId="0">
      <selection activeCell="L8" sqref="L8"/>
    </sheetView>
  </sheetViews>
  <sheetFormatPr defaultColWidth="8.85546875" defaultRowHeight="15" x14ac:dyDescent="0.25"/>
  <cols>
    <col min="1" max="2" width="17.85546875" customWidth="1"/>
    <col min="3" max="3" width="15" customWidth="1"/>
    <col min="5" max="5" width="8.7109375" customWidth="1"/>
  </cols>
  <sheetData>
    <row r="1" spans="1:5" x14ac:dyDescent="0.25">
      <c r="A1" s="29" t="s">
        <v>14</v>
      </c>
      <c r="B1" s="23" t="s">
        <v>13</v>
      </c>
      <c r="C1" s="23" t="s">
        <v>12</v>
      </c>
      <c r="D1" s="23" t="s">
        <v>11</v>
      </c>
      <c r="E1" s="23" t="s">
        <v>10</v>
      </c>
    </row>
    <row r="2" spans="1:5" x14ac:dyDescent="0.25">
      <c r="A2" s="30">
        <v>42248</v>
      </c>
      <c r="B2" s="24">
        <v>1001</v>
      </c>
      <c r="C2" s="24" t="s">
        <v>7</v>
      </c>
      <c r="D2" s="24" t="s">
        <v>0</v>
      </c>
      <c r="E2" s="24">
        <v>100</v>
      </c>
    </row>
    <row r="3" spans="1:5" x14ac:dyDescent="0.25">
      <c r="A3" s="30">
        <v>42248</v>
      </c>
      <c r="B3" s="24">
        <v>1001</v>
      </c>
      <c r="C3" s="24" t="s">
        <v>7</v>
      </c>
      <c r="D3" s="24" t="s">
        <v>3</v>
      </c>
      <c r="E3" s="24">
        <v>24</v>
      </c>
    </row>
    <row r="4" spans="1:5" x14ac:dyDescent="0.25">
      <c r="A4" s="30">
        <v>42248</v>
      </c>
      <c r="B4" s="24">
        <v>1002</v>
      </c>
      <c r="C4" s="24" t="s">
        <v>1</v>
      </c>
      <c r="D4" s="24" t="s">
        <v>0</v>
      </c>
      <c r="E4" s="24">
        <v>15</v>
      </c>
    </row>
    <row r="5" spans="1:5" x14ac:dyDescent="0.25">
      <c r="A5" s="30">
        <v>42248</v>
      </c>
      <c r="B5" s="24">
        <v>1002</v>
      </c>
      <c r="C5" s="24" t="s">
        <v>1</v>
      </c>
      <c r="D5" s="24" t="s">
        <v>3</v>
      </c>
      <c r="E5" s="24">
        <v>20</v>
      </c>
    </row>
    <row r="6" spans="1:5" x14ac:dyDescent="0.25">
      <c r="A6" s="30">
        <v>42248</v>
      </c>
      <c r="B6" s="24">
        <v>1002</v>
      </c>
      <c r="C6" s="24" t="s">
        <v>1</v>
      </c>
      <c r="D6" s="24" t="s">
        <v>2</v>
      </c>
      <c r="E6" s="24">
        <v>12</v>
      </c>
    </row>
    <row r="7" spans="1:5" x14ac:dyDescent="0.25">
      <c r="A7" s="30">
        <v>42248</v>
      </c>
      <c r="B7" s="24">
        <v>1003</v>
      </c>
      <c r="C7" s="24" t="s">
        <v>4</v>
      </c>
      <c r="D7" s="24" t="s">
        <v>2</v>
      </c>
      <c r="E7" s="24">
        <v>45</v>
      </c>
    </row>
    <row r="8" spans="1:5" x14ac:dyDescent="0.25">
      <c r="A8" s="30">
        <v>42248</v>
      </c>
      <c r="B8" s="24">
        <v>1004</v>
      </c>
      <c r="C8" s="24" t="s">
        <v>6</v>
      </c>
      <c r="D8" s="24" t="s">
        <v>3</v>
      </c>
      <c r="E8" s="24">
        <v>30</v>
      </c>
    </row>
    <row r="9" spans="1:5" x14ac:dyDescent="0.25">
      <c r="A9" s="30">
        <v>42248</v>
      </c>
      <c r="B9" s="24">
        <v>1004</v>
      </c>
      <c r="C9" s="24" t="s">
        <v>6</v>
      </c>
      <c r="D9" s="24" t="s">
        <v>2</v>
      </c>
      <c r="E9" s="24">
        <v>30</v>
      </c>
    </row>
    <row r="10" spans="1:5" x14ac:dyDescent="0.25">
      <c r="A10" s="30">
        <v>42249</v>
      </c>
      <c r="B10" s="24">
        <v>1005</v>
      </c>
      <c r="C10" s="24" t="s">
        <v>5</v>
      </c>
      <c r="D10" s="24" t="s">
        <v>0</v>
      </c>
      <c r="E10" s="24">
        <v>2</v>
      </c>
    </row>
    <row r="11" spans="1:5" x14ac:dyDescent="0.25">
      <c r="A11" s="30">
        <v>42249</v>
      </c>
      <c r="B11" s="24">
        <v>1006</v>
      </c>
      <c r="C11" s="24" t="s">
        <v>9</v>
      </c>
      <c r="D11" s="24" t="s">
        <v>3</v>
      </c>
      <c r="E11" s="24">
        <v>18</v>
      </c>
    </row>
    <row r="12" spans="1:5" x14ac:dyDescent="0.25">
      <c r="A12" s="30">
        <v>42249</v>
      </c>
      <c r="B12" s="24">
        <v>1006</v>
      </c>
      <c r="C12" s="24" t="s">
        <v>9</v>
      </c>
      <c r="D12" s="24" t="s">
        <v>2</v>
      </c>
      <c r="E12" s="24">
        <v>10</v>
      </c>
    </row>
    <row r="13" spans="1:5" x14ac:dyDescent="0.25">
      <c r="A13" s="30">
        <v>42249</v>
      </c>
      <c r="B13" s="24">
        <v>1007</v>
      </c>
      <c r="C13" s="24" t="s">
        <v>8</v>
      </c>
      <c r="D13" s="24" t="s">
        <v>2</v>
      </c>
      <c r="E13" s="24">
        <v>50</v>
      </c>
    </row>
    <row r="14" spans="1:5" x14ac:dyDescent="0.25">
      <c r="A14" s="30">
        <v>42249</v>
      </c>
      <c r="B14" s="24">
        <v>1007</v>
      </c>
      <c r="C14" s="24" t="s">
        <v>8</v>
      </c>
      <c r="D14" s="24" t="s">
        <v>2</v>
      </c>
      <c r="E14" s="24">
        <v>40</v>
      </c>
    </row>
    <row r="15" spans="1:5" x14ac:dyDescent="0.25">
      <c r="A15" s="30">
        <v>42250</v>
      </c>
      <c r="B15" s="24">
        <v>1008</v>
      </c>
      <c r="C15" s="24" t="s">
        <v>7</v>
      </c>
      <c r="D15" s="24" t="s">
        <v>0</v>
      </c>
      <c r="E15" s="24">
        <v>75</v>
      </c>
    </row>
    <row r="16" spans="1:5" x14ac:dyDescent="0.25">
      <c r="A16" s="30">
        <v>42250</v>
      </c>
      <c r="B16" s="24">
        <v>1008</v>
      </c>
      <c r="C16" s="24" t="s">
        <v>7</v>
      </c>
      <c r="D16" s="24" t="s">
        <v>2</v>
      </c>
      <c r="E16" s="24">
        <v>40</v>
      </c>
    </row>
    <row r="17" spans="1:5" x14ac:dyDescent="0.25">
      <c r="A17" s="30">
        <v>42250</v>
      </c>
      <c r="B17" s="24">
        <v>1009</v>
      </c>
      <c r="C17" s="24" t="s">
        <v>6</v>
      </c>
      <c r="D17" s="24" t="s">
        <v>3</v>
      </c>
      <c r="E17" s="24">
        <v>17</v>
      </c>
    </row>
    <row r="18" spans="1:5" x14ac:dyDescent="0.25">
      <c r="A18" s="30">
        <v>42250</v>
      </c>
      <c r="B18" s="24">
        <v>1010</v>
      </c>
      <c r="C18" s="24" t="s">
        <v>5</v>
      </c>
      <c r="D18" s="24" t="s">
        <v>2</v>
      </c>
      <c r="E18" s="24">
        <v>1</v>
      </c>
    </row>
    <row r="19" spans="1:5" x14ac:dyDescent="0.25">
      <c r="A19" s="30">
        <v>42250</v>
      </c>
      <c r="B19" s="24">
        <v>1011</v>
      </c>
      <c r="C19" s="24" t="s">
        <v>4</v>
      </c>
      <c r="D19" s="24" t="s">
        <v>0</v>
      </c>
      <c r="E19" s="24">
        <v>18</v>
      </c>
    </row>
    <row r="20" spans="1:5" x14ac:dyDescent="0.25">
      <c r="A20" s="30">
        <v>42250</v>
      </c>
      <c r="B20" s="24">
        <v>1012</v>
      </c>
      <c r="C20" s="24" t="s">
        <v>1</v>
      </c>
      <c r="D20" s="24" t="s">
        <v>3</v>
      </c>
      <c r="E20" s="24">
        <v>35</v>
      </c>
    </row>
    <row r="21" spans="1:5" x14ac:dyDescent="0.25">
      <c r="A21" s="30">
        <v>42250</v>
      </c>
      <c r="B21" s="24">
        <v>1012</v>
      </c>
      <c r="C21" s="24" t="s">
        <v>1</v>
      </c>
      <c r="D21" s="24" t="s">
        <v>2</v>
      </c>
      <c r="E21" s="24">
        <v>40</v>
      </c>
    </row>
    <row r="22" spans="1:5" x14ac:dyDescent="0.25">
      <c r="A22" s="30">
        <v>42278</v>
      </c>
      <c r="B22" s="24">
        <v>1013</v>
      </c>
      <c r="C22" s="24" t="s">
        <v>7</v>
      </c>
      <c r="D22" s="24" t="s">
        <v>0</v>
      </c>
      <c r="E22" s="24">
        <v>200</v>
      </c>
    </row>
    <row r="23" spans="1:5" x14ac:dyDescent="0.25">
      <c r="A23" s="30">
        <v>42278</v>
      </c>
      <c r="B23" s="24">
        <v>1013</v>
      </c>
      <c r="C23" s="24" t="s">
        <v>7</v>
      </c>
      <c r="D23" s="24" t="s">
        <v>3</v>
      </c>
      <c r="E23" s="24">
        <v>24</v>
      </c>
    </row>
    <row r="24" spans="1:5" x14ac:dyDescent="0.25">
      <c r="A24" s="30">
        <v>42278</v>
      </c>
      <c r="B24" s="24">
        <v>1014</v>
      </c>
      <c r="C24" s="24" t="s">
        <v>1</v>
      </c>
      <c r="D24" s="24" t="s">
        <v>0</v>
      </c>
      <c r="E24" s="24">
        <v>25</v>
      </c>
    </row>
    <row r="25" spans="1:5" x14ac:dyDescent="0.25">
      <c r="A25" s="30">
        <v>42278</v>
      </c>
      <c r="B25" s="24">
        <v>1014</v>
      </c>
      <c r="C25" s="24" t="s">
        <v>1</v>
      </c>
      <c r="D25" s="24" t="s">
        <v>3</v>
      </c>
      <c r="E25" s="24">
        <v>20</v>
      </c>
    </row>
    <row r="26" spans="1:5" x14ac:dyDescent="0.25">
      <c r="A26" s="30">
        <v>42278</v>
      </c>
      <c r="B26" s="24">
        <v>1014</v>
      </c>
      <c r="C26" s="24" t="s">
        <v>1</v>
      </c>
      <c r="D26" s="24" t="s">
        <v>2</v>
      </c>
      <c r="E26" s="24">
        <v>22</v>
      </c>
    </row>
    <row r="27" spans="1:5" x14ac:dyDescent="0.25">
      <c r="A27" s="30">
        <v>42278</v>
      </c>
      <c r="B27" s="24">
        <v>1015</v>
      </c>
      <c r="C27" s="24" t="s">
        <v>4</v>
      </c>
      <c r="D27" s="24" t="s">
        <v>2</v>
      </c>
      <c r="E27" s="24">
        <v>45</v>
      </c>
    </row>
    <row r="28" spans="1:5" x14ac:dyDescent="0.25">
      <c r="A28" s="30">
        <v>42278</v>
      </c>
      <c r="B28" s="24">
        <v>1016</v>
      </c>
      <c r="C28" s="24" t="s">
        <v>6</v>
      </c>
      <c r="D28" s="24" t="s">
        <v>3</v>
      </c>
      <c r="E28" s="24">
        <v>30</v>
      </c>
    </row>
    <row r="29" spans="1:5" x14ac:dyDescent="0.25">
      <c r="A29" s="30">
        <v>42278</v>
      </c>
      <c r="B29" s="24">
        <v>1016</v>
      </c>
      <c r="C29" s="24" t="s">
        <v>6</v>
      </c>
      <c r="D29" s="24" t="s">
        <v>2</v>
      </c>
      <c r="E29" s="24">
        <v>30</v>
      </c>
    </row>
    <row r="30" spans="1:5" x14ac:dyDescent="0.25">
      <c r="A30" s="30">
        <v>42279</v>
      </c>
      <c r="B30" s="24">
        <v>1017</v>
      </c>
      <c r="C30" s="24" t="s">
        <v>5</v>
      </c>
      <c r="D30" s="24" t="s">
        <v>2</v>
      </c>
      <c r="E30" s="24">
        <v>2</v>
      </c>
    </row>
    <row r="31" spans="1:5" x14ac:dyDescent="0.25">
      <c r="A31" s="30">
        <v>42279</v>
      </c>
      <c r="B31" s="24">
        <v>1018</v>
      </c>
      <c r="C31" s="24" t="s">
        <v>9</v>
      </c>
      <c r="D31" s="24" t="s">
        <v>0</v>
      </c>
      <c r="E31" s="24">
        <v>28</v>
      </c>
    </row>
    <row r="32" spans="1:5" x14ac:dyDescent="0.25">
      <c r="A32" s="30">
        <v>42279</v>
      </c>
      <c r="B32" s="24">
        <v>1018</v>
      </c>
      <c r="C32" s="24" t="s">
        <v>9</v>
      </c>
      <c r="D32" s="24" t="s">
        <v>3</v>
      </c>
      <c r="E32" s="24">
        <v>20</v>
      </c>
    </row>
    <row r="33" spans="1:5" x14ac:dyDescent="0.25">
      <c r="A33" s="30">
        <v>42279</v>
      </c>
      <c r="B33" s="24">
        <v>1019</v>
      </c>
      <c r="C33" s="24" t="s">
        <v>8</v>
      </c>
      <c r="D33" s="24" t="s">
        <v>2</v>
      </c>
      <c r="E33" s="24">
        <v>50</v>
      </c>
    </row>
    <row r="34" spans="1:5" x14ac:dyDescent="0.25">
      <c r="A34" s="30">
        <v>42279</v>
      </c>
      <c r="B34" s="24">
        <v>1019</v>
      </c>
      <c r="C34" s="24" t="s">
        <v>8</v>
      </c>
      <c r="D34" s="24" t="s">
        <v>2</v>
      </c>
      <c r="E34" s="24">
        <v>40</v>
      </c>
    </row>
    <row r="35" spans="1:5" x14ac:dyDescent="0.25">
      <c r="A35" s="30">
        <v>42280</v>
      </c>
      <c r="B35" s="24">
        <v>1020</v>
      </c>
      <c r="C35" s="24" t="s">
        <v>7</v>
      </c>
      <c r="D35" s="24" t="s">
        <v>0</v>
      </c>
      <c r="E35" s="24">
        <v>75</v>
      </c>
    </row>
    <row r="36" spans="1:5" x14ac:dyDescent="0.25">
      <c r="A36" s="30">
        <v>42280</v>
      </c>
      <c r="B36" s="24">
        <v>1020</v>
      </c>
      <c r="C36" s="24" t="s">
        <v>7</v>
      </c>
      <c r="D36" s="24" t="s">
        <v>2</v>
      </c>
      <c r="E36" s="24">
        <v>40</v>
      </c>
    </row>
    <row r="37" spans="1:5" x14ac:dyDescent="0.25">
      <c r="A37" s="30">
        <v>42280</v>
      </c>
      <c r="B37" s="24">
        <v>1021</v>
      </c>
      <c r="C37" s="24" t="s">
        <v>6</v>
      </c>
      <c r="D37" s="24" t="s">
        <v>3</v>
      </c>
      <c r="E37" s="24">
        <v>27</v>
      </c>
    </row>
    <row r="38" spans="1:5" x14ac:dyDescent="0.25">
      <c r="A38" s="30">
        <v>42280</v>
      </c>
      <c r="B38" s="24">
        <v>1022</v>
      </c>
      <c r="C38" s="24" t="s">
        <v>5</v>
      </c>
      <c r="D38" s="24" t="s">
        <v>2</v>
      </c>
      <c r="E38" s="24">
        <v>2</v>
      </c>
    </row>
    <row r="39" spans="1:5" x14ac:dyDescent="0.25">
      <c r="A39" s="30">
        <v>42280</v>
      </c>
      <c r="B39" s="24">
        <v>1023</v>
      </c>
      <c r="C39" s="24" t="s">
        <v>4</v>
      </c>
      <c r="D39" s="24" t="s">
        <v>0</v>
      </c>
      <c r="E39" s="24">
        <v>28</v>
      </c>
    </row>
    <row r="40" spans="1:5" x14ac:dyDescent="0.25">
      <c r="A40" s="30">
        <v>42280</v>
      </c>
      <c r="B40" s="24">
        <v>1024</v>
      </c>
      <c r="C40" s="24" t="s">
        <v>1</v>
      </c>
      <c r="D40" s="24" t="s">
        <v>3</v>
      </c>
      <c r="E40" s="24">
        <v>35</v>
      </c>
    </row>
    <row r="41" spans="1:5" x14ac:dyDescent="0.25">
      <c r="A41" s="30">
        <v>42280</v>
      </c>
      <c r="B41" s="24">
        <v>1024</v>
      </c>
      <c r="C41" s="24" t="s">
        <v>1</v>
      </c>
      <c r="D41" s="24" t="s">
        <v>0</v>
      </c>
      <c r="E41" s="24">
        <v>40</v>
      </c>
    </row>
    <row r="42" spans="1:5" x14ac:dyDescent="0.25">
      <c r="A42" s="30">
        <v>42309</v>
      </c>
      <c r="B42" s="24">
        <v>1025</v>
      </c>
      <c r="C42" s="24" t="s">
        <v>7</v>
      </c>
      <c r="D42" s="24" t="s">
        <v>3</v>
      </c>
      <c r="E42" s="24">
        <v>300</v>
      </c>
    </row>
    <row r="43" spans="1:5" x14ac:dyDescent="0.25">
      <c r="A43" s="30">
        <v>42309</v>
      </c>
      <c r="B43" s="24">
        <v>1025</v>
      </c>
      <c r="C43" s="24" t="s">
        <v>7</v>
      </c>
      <c r="D43" s="24" t="s">
        <v>0</v>
      </c>
      <c r="E43" s="24">
        <v>34</v>
      </c>
    </row>
    <row r="44" spans="1:5" x14ac:dyDescent="0.25">
      <c r="A44" s="30">
        <v>42309</v>
      </c>
      <c r="B44" s="24">
        <v>1026</v>
      </c>
      <c r="C44" s="24" t="s">
        <v>1</v>
      </c>
      <c r="D44" s="24" t="s">
        <v>0</v>
      </c>
      <c r="E44" s="24">
        <v>35</v>
      </c>
    </row>
    <row r="45" spans="1:5" x14ac:dyDescent="0.25">
      <c r="A45" s="30">
        <v>42309</v>
      </c>
      <c r="B45" s="24">
        <v>1026</v>
      </c>
      <c r="C45" s="24" t="s">
        <v>1</v>
      </c>
      <c r="D45" s="24" t="s">
        <v>3</v>
      </c>
      <c r="E45" s="24">
        <v>30</v>
      </c>
    </row>
    <row r="46" spans="1:5" x14ac:dyDescent="0.25">
      <c r="A46" s="30">
        <v>42309</v>
      </c>
      <c r="B46" s="24">
        <v>1026</v>
      </c>
      <c r="C46" s="24" t="s">
        <v>1</v>
      </c>
      <c r="D46" s="24" t="s">
        <v>2</v>
      </c>
      <c r="E46" s="24">
        <v>33</v>
      </c>
    </row>
    <row r="47" spans="1:5" x14ac:dyDescent="0.25">
      <c r="A47" s="30">
        <v>42309</v>
      </c>
      <c r="B47" s="24">
        <v>1027</v>
      </c>
      <c r="C47" s="24" t="s">
        <v>4</v>
      </c>
      <c r="D47" s="24" t="s">
        <v>3</v>
      </c>
      <c r="E47" s="24">
        <v>45</v>
      </c>
    </row>
    <row r="48" spans="1:5" x14ac:dyDescent="0.25">
      <c r="A48" s="30">
        <v>42309</v>
      </c>
      <c r="B48" s="24">
        <v>1028</v>
      </c>
      <c r="C48" s="24" t="s">
        <v>6</v>
      </c>
      <c r="D48" s="24" t="s">
        <v>2</v>
      </c>
      <c r="E48" s="24">
        <v>30</v>
      </c>
    </row>
    <row r="49" spans="1:5" x14ac:dyDescent="0.25">
      <c r="A49" s="30">
        <v>42309</v>
      </c>
      <c r="B49" s="24">
        <v>1028</v>
      </c>
      <c r="C49" s="24" t="s">
        <v>6</v>
      </c>
      <c r="D49" s="24" t="s">
        <v>2</v>
      </c>
      <c r="E49" s="24">
        <v>30</v>
      </c>
    </row>
    <row r="50" spans="1:5" x14ac:dyDescent="0.25">
      <c r="A50" s="30">
        <v>42310</v>
      </c>
      <c r="B50" s="24">
        <v>1029</v>
      </c>
      <c r="C50" s="24" t="s">
        <v>5</v>
      </c>
      <c r="D50" s="24" t="s">
        <v>0</v>
      </c>
      <c r="E50" s="24">
        <v>3</v>
      </c>
    </row>
    <row r="51" spans="1:5" x14ac:dyDescent="0.25">
      <c r="A51" s="30">
        <v>42310</v>
      </c>
      <c r="B51" s="24">
        <v>1030</v>
      </c>
      <c r="C51" s="24" t="s">
        <v>9</v>
      </c>
      <c r="D51" s="24" t="s">
        <v>3</v>
      </c>
      <c r="E51" s="24">
        <v>38</v>
      </c>
    </row>
    <row r="52" spans="1:5" x14ac:dyDescent="0.25">
      <c r="A52" s="30">
        <v>42310</v>
      </c>
      <c r="B52" s="24">
        <v>1030</v>
      </c>
      <c r="C52" s="24" t="s">
        <v>9</v>
      </c>
      <c r="D52" s="24" t="s">
        <v>2</v>
      </c>
      <c r="E52" s="24">
        <v>30</v>
      </c>
    </row>
    <row r="53" spans="1:5" x14ac:dyDescent="0.25">
      <c r="A53" s="30">
        <v>42310</v>
      </c>
      <c r="B53" s="24">
        <v>1031</v>
      </c>
      <c r="C53" s="24" t="s">
        <v>8</v>
      </c>
      <c r="D53" s="24" t="s">
        <v>2</v>
      </c>
      <c r="E53" s="24">
        <v>50</v>
      </c>
    </row>
    <row r="54" spans="1:5" x14ac:dyDescent="0.25">
      <c r="A54" s="30">
        <v>42310</v>
      </c>
      <c r="B54" s="24">
        <v>1031</v>
      </c>
      <c r="C54" s="24" t="s">
        <v>8</v>
      </c>
      <c r="D54" s="24" t="s">
        <v>0</v>
      </c>
      <c r="E54" s="24">
        <v>40</v>
      </c>
    </row>
    <row r="55" spans="1:5" x14ac:dyDescent="0.25">
      <c r="A55" s="30">
        <v>42311</v>
      </c>
      <c r="B55" s="24">
        <v>1032</v>
      </c>
      <c r="C55" s="24" t="s">
        <v>7</v>
      </c>
      <c r="D55" s="24" t="s">
        <v>2</v>
      </c>
      <c r="E55" s="24">
        <v>75</v>
      </c>
    </row>
    <row r="56" spans="1:5" x14ac:dyDescent="0.25">
      <c r="A56" s="30">
        <v>42311</v>
      </c>
      <c r="B56" s="24">
        <v>1032</v>
      </c>
      <c r="C56" s="24" t="s">
        <v>7</v>
      </c>
      <c r="D56" s="24" t="s">
        <v>3</v>
      </c>
      <c r="E56" s="24">
        <v>40</v>
      </c>
    </row>
    <row r="57" spans="1:5" x14ac:dyDescent="0.25">
      <c r="A57" s="30">
        <v>42311</v>
      </c>
      <c r="B57" s="24">
        <v>1033</v>
      </c>
      <c r="C57" s="24" t="s">
        <v>6</v>
      </c>
      <c r="D57" s="24" t="s">
        <v>2</v>
      </c>
      <c r="E57" s="24">
        <v>37</v>
      </c>
    </row>
    <row r="58" spans="1:5" x14ac:dyDescent="0.25">
      <c r="A58" s="30">
        <v>42311</v>
      </c>
      <c r="B58" s="24">
        <v>1034</v>
      </c>
      <c r="C58" s="24" t="s">
        <v>5</v>
      </c>
      <c r="D58" s="24" t="s">
        <v>0</v>
      </c>
      <c r="E58" s="24">
        <v>3</v>
      </c>
    </row>
    <row r="59" spans="1:5" x14ac:dyDescent="0.25">
      <c r="A59" s="30">
        <v>42311</v>
      </c>
      <c r="B59" s="24">
        <v>1035</v>
      </c>
      <c r="C59" s="24" t="s">
        <v>4</v>
      </c>
      <c r="D59" s="24" t="s">
        <v>3</v>
      </c>
      <c r="E59" s="24">
        <v>38</v>
      </c>
    </row>
    <row r="60" spans="1:5" x14ac:dyDescent="0.25">
      <c r="A60" s="30">
        <v>42311</v>
      </c>
      <c r="B60" s="24">
        <v>1036</v>
      </c>
      <c r="C60" s="24" t="s">
        <v>1</v>
      </c>
      <c r="D60" s="24" t="s">
        <v>2</v>
      </c>
      <c r="E60" s="24">
        <v>35</v>
      </c>
    </row>
    <row r="61" spans="1:5" x14ac:dyDescent="0.25">
      <c r="A61" s="30">
        <v>42311</v>
      </c>
      <c r="B61" s="24">
        <v>1036</v>
      </c>
      <c r="C61" s="24" t="s">
        <v>1</v>
      </c>
      <c r="D61" s="24" t="s">
        <v>0</v>
      </c>
      <c r="E61" s="24">
        <v>40</v>
      </c>
    </row>
  </sheetData>
  <sheetProtection selectLockedCells="1" selectUnlockedCells="1"/>
  <conditionalFormatting sqref="A1:A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B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63"/>
  <sheetViews>
    <sheetView tabSelected="1" zoomScale="70" zoomScaleNormal="70" zoomScalePageLayoutView="70" workbookViewId="0">
      <pane ySplit="1" topLeftCell="A10" activePane="bottomLeft" state="frozen"/>
      <selection pane="bottomLeft" activeCell="J41" sqref="J41"/>
    </sheetView>
  </sheetViews>
  <sheetFormatPr defaultColWidth="8.85546875" defaultRowHeight="15" x14ac:dyDescent="0.25"/>
  <cols>
    <col min="1" max="1" width="30.7109375" style="20" customWidth="1"/>
    <col min="2" max="2" width="20.7109375" style="20" customWidth="1"/>
    <col min="3" max="3" width="17.140625" style="20" customWidth="1"/>
    <col min="4" max="4" width="19.85546875" style="20" customWidth="1"/>
    <col min="5" max="5" width="18.85546875" style="20" customWidth="1"/>
    <col min="6" max="6" width="16.140625" style="45" customWidth="1"/>
    <col min="7" max="7" width="20.7109375" style="37" customWidth="1"/>
    <col min="8" max="8" width="17.42578125" style="37" customWidth="1"/>
    <col min="9" max="9" width="21.85546875" customWidth="1"/>
    <col min="10" max="10" width="14.85546875" customWidth="1"/>
    <col min="11" max="11" width="18.28515625" customWidth="1"/>
    <col min="12" max="12" width="17.140625" customWidth="1"/>
    <col min="13" max="13" width="13.85546875" customWidth="1"/>
    <col min="14" max="14" width="14.140625" customWidth="1"/>
    <col min="15" max="15" width="12.28515625" customWidth="1"/>
  </cols>
  <sheetData>
    <row r="1" spans="1:13" x14ac:dyDescent="0.25">
      <c r="A1" s="34" t="s">
        <v>14</v>
      </c>
      <c r="B1" s="34" t="s">
        <v>13</v>
      </c>
      <c r="C1" s="34" t="s">
        <v>12</v>
      </c>
      <c r="D1" s="34" t="s">
        <v>16</v>
      </c>
      <c r="E1" s="34" t="s">
        <v>11</v>
      </c>
      <c r="F1" s="46" t="s">
        <v>10</v>
      </c>
      <c r="G1" s="35" t="s">
        <v>17</v>
      </c>
      <c r="H1" s="35" t="s">
        <v>18</v>
      </c>
    </row>
    <row r="2" spans="1:13" x14ac:dyDescent="0.25">
      <c r="A2" s="36">
        <v>42248</v>
      </c>
      <c r="B2" s="20">
        <v>1001</v>
      </c>
      <c r="C2" s="20" t="s">
        <v>7</v>
      </c>
      <c r="D2" s="20" t="str">
        <f t="shared" ref="D2:D33" si="0">VLOOKUP(C2,Customer_lookup,2,FALSE)</f>
        <v>Wholesaler</v>
      </c>
      <c r="E2" s="20" t="s">
        <v>0</v>
      </c>
      <c r="F2" s="45">
        <v>100</v>
      </c>
      <c r="G2" s="37">
        <f t="shared" ref="G2:G33" si="1">VLOOKUP(E2,Product_table,3,FALSE)*Quantity</f>
        <v>1000</v>
      </c>
      <c r="H2" s="37">
        <f t="shared" ref="H2:H33" si="2">Retail_Price-VLOOKUP(D:D,Customer_seller,2,FALSE)*Retail_Price</f>
        <v>450</v>
      </c>
    </row>
    <row r="3" spans="1:13" x14ac:dyDescent="0.25">
      <c r="A3" s="36">
        <v>42248</v>
      </c>
      <c r="B3" s="20">
        <v>1001</v>
      </c>
      <c r="C3" s="20" t="s">
        <v>7</v>
      </c>
      <c r="D3" s="20" t="str">
        <f t="shared" si="0"/>
        <v>Wholesaler</v>
      </c>
      <c r="E3" s="20" t="s">
        <v>3</v>
      </c>
      <c r="F3" s="45">
        <v>24</v>
      </c>
      <c r="G3" s="37">
        <f t="shared" si="1"/>
        <v>168</v>
      </c>
      <c r="H3" s="37">
        <f t="shared" si="2"/>
        <v>75.599999999999994</v>
      </c>
      <c r="J3" s="21"/>
      <c r="K3" s="21"/>
    </row>
    <row r="4" spans="1:13" x14ac:dyDescent="0.25">
      <c r="A4" s="36">
        <v>42248</v>
      </c>
      <c r="B4" s="20">
        <v>1002</v>
      </c>
      <c r="C4" s="20" t="s">
        <v>1</v>
      </c>
      <c r="D4" s="20" t="str">
        <f t="shared" si="0"/>
        <v>Retailer</v>
      </c>
      <c r="E4" s="20" t="s">
        <v>0</v>
      </c>
      <c r="F4" s="45">
        <v>15</v>
      </c>
      <c r="G4" s="37">
        <f t="shared" si="1"/>
        <v>150</v>
      </c>
      <c r="H4" s="37">
        <f t="shared" si="2"/>
        <v>105</v>
      </c>
      <c r="J4" s="21"/>
      <c r="K4" s="21"/>
    </row>
    <row r="5" spans="1:13" x14ac:dyDescent="0.25">
      <c r="A5" s="36">
        <v>42248</v>
      </c>
      <c r="B5" s="20">
        <v>1002</v>
      </c>
      <c r="C5" s="20" t="s">
        <v>1</v>
      </c>
      <c r="D5" s="20" t="str">
        <f t="shared" si="0"/>
        <v>Retailer</v>
      </c>
      <c r="E5" s="20" t="s">
        <v>3</v>
      </c>
      <c r="F5" s="45">
        <v>20</v>
      </c>
      <c r="G5" s="37">
        <f t="shared" si="1"/>
        <v>140</v>
      </c>
      <c r="H5" s="37">
        <f t="shared" si="2"/>
        <v>98</v>
      </c>
      <c r="J5" s="21"/>
      <c r="K5" s="21"/>
    </row>
    <row r="6" spans="1:13" x14ac:dyDescent="0.25">
      <c r="A6" s="36">
        <v>42248</v>
      </c>
      <c r="B6" s="20">
        <v>1002</v>
      </c>
      <c r="C6" s="20" t="s">
        <v>1</v>
      </c>
      <c r="D6" s="20" t="str">
        <f t="shared" si="0"/>
        <v>Retailer</v>
      </c>
      <c r="E6" s="20" t="s">
        <v>2</v>
      </c>
      <c r="F6" s="45">
        <v>12</v>
      </c>
      <c r="G6" s="37">
        <f t="shared" si="1"/>
        <v>60</v>
      </c>
      <c r="H6" s="37">
        <f t="shared" si="2"/>
        <v>42</v>
      </c>
      <c r="J6" s="21"/>
      <c r="K6" s="21"/>
    </row>
    <row r="7" spans="1:13" x14ac:dyDescent="0.25">
      <c r="A7" s="36">
        <v>42248</v>
      </c>
      <c r="B7" s="20">
        <v>1003</v>
      </c>
      <c r="C7" s="20" t="s">
        <v>4</v>
      </c>
      <c r="D7" s="20" t="str">
        <f t="shared" si="0"/>
        <v>Retailer</v>
      </c>
      <c r="E7" s="20" t="s">
        <v>2</v>
      </c>
      <c r="F7" s="45">
        <v>45</v>
      </c>
      <c r="G7" s="37">
        <f t="shared" si="1"/>
        <v>225</v>
      </c>
      <c r="H7" s="37">
        <f t="shared" si="2"/>
        <v>157.5</v>
      </c>
    </row>
    <row r="8" spans="1:13" x14ac:dyDescent="0.25">
      <c r="A8" s="36">
        <v>42248</v>
      </c>
      <c r="B8" s="20">
        <v>1004</v>
      </c>
      <c r="C8" s="20" t="s">
        <v>6</v>
      </c>
      <c r="D8" s="20" t="str">
        <f>VLOOKUP(C8,Customer_lookup,2,FALSE)</f>
        <v>Retailer</v>
      </c>
      <c r="E8" s="20" t="s">
        <v>3</v>
      </c>
      <c r="F8" s="45">
        <v>30</v>
      </c>
      <c r="G8" s="37">
        <f t="shared" si="1"/>
        <v>210</v>
      </c>
      <c r="H8" s="37">
        <f t="shared" si="2"/>
        <v>147</v>
      </c>
    </row>
    <row r="9" spans="1:13" x14ac:dyDescent="0.25">
      <c r="A9" s="36">
        <v>42248</v>
      </c>
      <c r="B9" s="20">
        <v>1004</v>
      </c>
      <c r="C9" s="20" t="s">
        <v>6</v>
      </c>
      <c r="D9" s="20" t="str">
        <f t="shared" si="0"/>
        <v>Retailer</v>
      </c>
      <c r="E9" s="20" t="s">
        <v>2</v>
      </c>
      <c r="F9" s="45">
        <v>30</v>
      </c>
      <c r="G9" s="37">
        <f t="shared" si="1"/>
        <v>150</v>
      </c>
      <c r="H9" s="37">
        <f t="shared" si="2"/>
        <v>105</v>
      </c>
    </row>
    <row r="10" spans="1:13" x14ac:dyDescent="0.25">
      <c r="A10" s="36">
        <v>42249</v>
      </c>
      <c r="B10" s="20">
        <v>1005</v>
      </c>
      <c r="C10" s="20" t="s">
        <v>5</v>
      </c>
      <c r="D10" s="20" t="str">
        <f t="shared" si="0"/>
        <v>Direct</v>
      </c>
      <c r="E10" s="20" t="s">
        <v>0</v>
      </c>
      <c r="F10" s="45">
        <v>2</v>
      </c>
      <c r="G10" s="37">
        <f t="shared" si="1"/>
        <v>20</v>
      </c>
      <c r="H10" s="37">
        <f t="shared" si="2"/>
        <v>20</v>
      </c>
    </row>
    <row r="11" spans="1:13" x14ac:dyDescent="0.25">
      <c r="A11" s="36">
        <v>42249</v>
      </c>
      <c r="B11" s="20">
        <v>1006</v>
      </c>
      <c r="C11" s="20" t="s">
        <v>9</v>
      </c>
      <c r="D11" s="20" t="str">
        <f t="shared" si="0"/>
        <v>Retailer</v>
      </c>
      <c r="E11" s="20" t="s">
        <v>3</v>
      </c>
      <c r="F11" s="45">
        <v>18</v>
      </c>
      <c r="G11" s="37">
        <f t="shared" si="1"/>
        <v>126</v>
      </c>
      <c r="H11" s="37">
        <f t="shared" si="2"/>
        <v>88.2</v>
      </c>
    </row>
    <row r="12" spans="1:13" x14ac:dyDescent="0.25">
      <c r="A12" s="36">
        <v>42249</v>
      </c>
      <c r="B12" s="20">
        <v>1006</v>
      </c>
      <c r="C12" s="20" t="s">
        <v>9</v>
      </c>
      <c r="D12" s="20" t="str">
        <f t="shared" si="0"/>
        <v>Retailer</v>
      </c>
      <c r="E12" s="20" t="s">
        <v>2</v>
      </c>
      <c r="F12" s="45">
        <v>10</v>
      </c>
      <c r="G12" s="37">
        <f t="shared" si="1"/>
        <v>50</v>
      </c>
      <c r="H12" s="37">
        <f t="shared" si="2"/>
        <v>35</v>
      </c>
    </row>
    <row r="13" spans="1:13" x14ac:dyDescent="0.25">
      <c r="A13" s="36">
        <v>42249</v>
      </c>
      <c r="B13" s="20">
        <v>1007</v>
      </c>
      <c r="C13" s="20" t="s">
        <v>8</v>
      </c>
      <c r="D13" s="20" t="str">
        <f t="shared" si="0"/>
        <v>Wholesaler</v>
      </c>
      <c r="E13" s="20" t="s">
        <v>2</v>
      </c>
      <c r="F13" s="45">
        <v>50</v>
      </c>
      <c r="G13" s="37">
        <f t="shared" si="1"/>
        <v>250</v>
      </c>
      <c r="H13" s="37">
        <f t="shared" si="2"/>
        <v>112.5</v>
      </c>
    </row>
    <row r="14" spans="1:13" x14ac:dyDescent="0.25">
      <c r="A14" s="36">
        <v>42249</v>
      </c>
      <c r="B14" s="20">
        <v>1007</v>
      </c>
      <c r="C14" s="20" t="s">
        <v>8</v>
      </c>
      <c r="D14" s="20" t="str">
        <f t="shared" si="0"/>
        <v>Wholesaler</v>
      </c>
      <c r="E14" s="20" t="s">
        <v>2</v>
      </c>
      <c r="F14" s="45">
        <v>40</v>
      </c>
      <c r="G14" s="37">
        <f t="shared" si="1"/>
        <v>200</v>
      </c>
      <c r="H14" s="37">
        <f t="shared" si="2"/>
        <v>89.999999999999986</v>
      </c>
    </row>
    <row r="15" spans="1:13" x14ac:dyDescent="0.25">
      <c r="A15" s="36">
        <v>42250</v>
      </c>
      <c r="B15" s="20">
        <v>1008</v>
      </c>
      <c r="C15" s="20" t="s">
        <v>7</v>
      </c>
      <c r="D15" s="20" t="str">
        <f t="shared" si="0"/>
        <v>Wholesaler</v>
      </c>
      <c r="E15" s="20" t="s">
        <v>0</v>
      </c>
      <c r="F15" s="45">
        <v>75</v>
      </c>
      <c r="G15" s="37">
        <f t="shared" si="1"/>
        <v>750</v>
      </c>
      <c r="H15" s="37">
        <f t="shared" si="2"/>
        <v>337.49999999999994</v>
      </c>
    </row>
    <row r="16" spans="1:13" x14ac:dyDescent="0.25">
      <c r="A16" s="36">
        <v>42250</v>
      </c>
      <c r="B16" s="20">
        <v>1008</v>
      </c>
      <c r="C16" s="20" t="s">
        <v>7</v>
      </c>
      <c r="D16" s="20" t="str">
        <f t="shared" si="0"/>
        <v>Wholesaler</v>
      </c>
      <c r="E16" s="20" t="s">
        <v>2</v>
      </c>
      <c r="F16" s="45">
        <v>40</v>
      </c>
      <c r="G16" s="37">
        <f t="shared" si="1"/>
        <v>200</v>
      </c>
      <c r="H16" s="37">
        <f t="shared" si="2"/>
        <v>89.999999999999986</v>
      </c>
      <c r="M16" s="44"/>
    </row>
    <row r="17" spans="1:25" x14ac:dyDescent="0.25">
      <c r="A17" s="36">
        <v>42250</v>
      </c>
      <c r="B17" s="20">
        <v>1009</v>
      </c>
      <c r="C17" s="20" t="s">
        <v>6</v>
      </c>
      <c r="D17" s="20" t="str">
        <f t="shared" si="0"/>
        <v>Retailer</v>
      </c>
      <c r="E17" s="20" t="s">
        <v>3</v>
      </c>
      <c r="F17" s="45">
        <v>17</v>
      </c>
      <c r="G17" s="37">
        <f t="shared" si="1"/>
        <v>119</v>
      </c>
      <c r="H17" s="37">
        <f t="shared" si="2"/>
        <v>83.300000000000011</v>
      </c>
    </row>
    <row r="18" spans="1:25" x14ac:dyDescent="0.25">
      <c r="A18" s="36">
        <v>42250</v>
      </c>
      <c r="B18" s="20">
        <v>1010</v>
      </c>
      <c r="C18" s="20" t="s">
        <v>5</v>
      </c>
      <c r="D18" s="20" t="str">
        <f t="shared" si="0"/>
        <v>Direct</v>
      </c>
      <c r="E18" s="20" t="s">
        <v>2</v>
      </c>
      <c r="F18" s="45">
        <v>1</v>
      </c>
      <c r="G18" s="37">
        <f t="shared" si="1"/>
        <v>5</v>
      </c>
      <c r="H18" s="37">
        <f t="shared" si="2"/>
        <v>5</v>
      </c>
    </row>
    <row r="19" spans="1:25" x14ac:dyDescent="0.25">
      <c r="A19" s="36">
        <v>42250</v>
      </c>
      <c r="B19" s="20">
        <v>1011</v>
      </c>
      <c r="C19" s="20" t="s">
        <v>4</v>
      </c>
      <c r="D19" s="20" t="str">
        <f t="shared" si="0"/>
        <v>Retailer</v>
      </c>
      <c r="E19" s="20" t="s">
        <v>0</v>
      </c>
      <c r="F19" s="45">
        <v>18</v>
      </c>
      <c r="G19" s="37">
        <f t="shared" si="1"/>
        <v>180</v>
      </c>
      <c r="H19" s="37">
        <f t="shared" si="2"/>
        <v>126</v>
      </c>
    </row>
    <row r="20" spans="1:25" x14ac:dyDescent="0.25">
      <c r="A20" s="36">
        <v>42250</v>
      </c>
      <c r="B20" s="20">
        <v>1012</v>
      </c>
      <c r="C20" s="20" t="s">
        <v>1</v>
      </c>
      <c r="D20" s="20" t="str">
        <f t="shared" si="0"/>
        <v>Retailer</v>
      </c>
      <c r="E20" s="20" t="s">
        <v>3</v>
      </c>
      <c r="F20" s="45">
        <v>35</v>
      </c>
      <c r="G20" s="37">
        <f t="shared" si="1"/>
        <v>245</v>
      </c>
      <c r="H20" s="37">
        <f t="shared" si="2"/>
        <v>171.5</v>
      </c>
    </row>
    <row r="21" spans="1:25" x14ac:dyDescent="0.25">
      <c r="A21" s="36">
        <v>42250</v>
      </c>
      <c r="B21" s="20">
        <v>1012</v>
      </c>
      <c r="C21" s="20" t="s">
        <v>1</v>
      </c>
      <c r="D21" s="20" t="str">
        <f t="shared" si="0"/>
        <v>Retailer</v>
      </c>
      <c r="E21" s="20" t="s">
        <v>2</v>
      </c>
      <c r="F21" s="45">
        <v>40</v>
      </c>
      <c r="G21" s="37">
        <f t="shared" si="1"/>
        <v>200</v>
      </c>
      <c r="H21" s="37">
        <f t="shared" si="2"/>
        <v>140</v>
      </c>
      <c r="Y21" s="21"/>
    </row>
    <row r="22" spans="1:25" x14ac:dyDescent="0.25">
      <c r="A22" s="36">
        <v>42278</v>
      </c>
      <c r="B22" s="20">
        <v>1013</v>
      </c>
      <c r="C22" s="20" t="s">
        <v>7</v>
      </c>
      <c r="D22" s="20" t="str">
        <f t="shared" si="0"/>
        <v>Wholesaler</v>
      </c>
      <c r="E22" s="20" t="s">
        <v>0</v>
      </c>
      <c r="F22" s="45">
        <v>200</v>
      </c>
      <c r="G22" s="37">
        <f t="shared" si="1"/>
        <v>2000</v>
      </c>
      <c r="H22" s="37">
        <f t="shared" si="2"/>
        <v>900</v>
      </c>
      <c r="I22" t="s">
        <v>50</v>
      </c>
    </row>
    <row r="23" spans="1:25" x14ac:dyDescent="0.25">
      <c r="A23" s="36">
        <v>42278</v>
      </c>
      <c r="B23" s="20">
        <v>1013</v>
      </c>
      <c r="C23" s="20" t="s">
        <v>7</v>
      </c>
      <c r="D23" s="20" t="str">
        <f t="shared" si="0"/>
        <v>Wholesaler</v>
      </c>
      <c r="E23" s="20" t="s">
        <v>3</v>
      </c>
      <c r="F23" s="45">
        <v>24</v>
      </c>
      <c r="G23" s="37">
        <f t="shared" si="1"/>
        <v>168</v>
      </c>
      <c r="H23" s="37">
        <f t="shared" si="2"/>
        <v>75.599999999999994</v>
      </c>
    </row>
    <row r="24" spans="1:25" x14ac:dyDescent="0.25">
      <c r="A24" s="36">
        <v>42278</v>
      </c>
      <c r="B24" s="20">
        <v>1014</v>
      </c>
      <c r="C24" s="20" t="s">
        <v>1</v>
      </c>
      <c r="D24" s="20" t="str">
        <f t="shared" si="0"/>
        <v>Retailer</v>
      </c>
      <c r="E24" s="20" t="s">
        <v>0</v>
      </c>
      <c r="F24" s="45">
        <v>25</v>
      </c>
      <c r="G24" s="37">
        <f t="shared" si="1"/>
        <v>250</v>
      </c>
      <c r="H24" s="37">
        <f t="shared" si="2"/>
        <v>175</v>
      </c>
    </row>
    <row r="25" spans="1:25" x14ac:dyDescent="0.25">
      <c r="A25" s="36">
        <v>42278</v>
      </c>
      <c r="B25" s="20">
        <v>1014</v>
      </c>
      <c r="C25" s="20" t="s">
        <v>1</v>
      </c>
      <c r="D25" s="20" t="str">
        <f t="shared" si="0"/>
        <v>Retailer</v>
      </c>
      <c r="E25" s="20" t="s">
        <v>3</v>
      </c>
      <c r="F25" s="45">
        <v>20</v>
      </c>
      <c r="G25" s="37">
        <f t="shared" si="1"/>
        <v>140</v>
      </c>
      <c r="H25" s="37">
        <f t="shared" si="2"/>
        <v>98</v>
      </c>
      <c r="J25" s="22"/>
      <c r="K25" s="22"/>
    </row>
    <row r="26" spans="1:25" x14ac:dyDescent="0.25">
      <c r="A26" s="36">
        <v>42278</v>
      </c>
      <c r="B26" s="20">
        <v>1014</v>
      </c>
      <c r="C26" s="20" t="s">
        <v>1</v>
      </c>
      <c r="D26" s="20" t="str">
        <f t="shared" si="0"/>
        <v>Retailer</v>
      </c>
      <c r="E26" s="20" t="s">
        <v>2</v>
      </c>
      <c r="F26" s="45">
        <v>22</v>
      </c>
      <c r="G26" s="37">
        <f t="shared" si="1"/>
        <v>110</v>
      </c>
      <c r="H26" s="37">
        <f t="shared" si="2"/>
        <v>77</v>
      </c>
      <c r="J26" s="21"/>
      <c r="K26" s="21"/>
    </row>
    <row r="27" spans="1:25" x14ac:dyDescent="0.25">
      <c r="A27" s="36">
        <v>42278</v>
      </c>
      <c r="B27" s="20">
        <v>1015</v>
      </c>
      <c r="C27" s="20" t="s">
        <v>4</v>
      </c>
      <c r="D27" s="20" t="str">
        <f t="shared" si="0"/>
        <v>Retailer</v>
      </c>
      <c r="E27" s="20" t="s">
        <v>2</v>
      </c>
      <c r="F27" s="45">
        <v>45</v>
      </c>
      <c r="G27" s="37">
        <f t="shared" si="1"/>
        <v>225</v>
      </c>
      <c r="H27" s="37">
        <f t="shared" si="2"/>
        <v>157.5</v>
      </c>
      <c r="J27" s="21"/>
      <c r="K27" s="21"/>
    </row>
    <row r="28" spans="1:25" x14ac:dyDescent="0.25">
      <c r="A28" s="36">
        <v>42278</v>
      </c>
      <c r="B28" s="20">
        <v>1016</v>
      </c>
      <c r="C28" s="20" t="s">
        <v>6</v>
      </c>
      <c r="D28" s="20" t="str">
        <f t="shared" si="0"/>
        <v>Retailer</v>
      </c>
      <c r="E28" s="20" t="s">
        <v>3</v>
      </c>
      <c r="F28" s="45">
        <v>30</v>
      </c>
      <c r="G28" s="37">
        <f t="shared" si="1"/>
        <v>210</v>
      </c>
      <c r="H28" s="37">
        <f t="shared" si="2"/>
        <v>147</v>
      </c>
      <c r="J28" s="21"/>
      <c r="K28" s="21"/>
    </row>
    <row r="29" spans="1:25" x14ac:dyDescent="0.25">
      <c r="A29" s="36">
        <v>42278</v>
      </c>
      <c r="B29" s="20">
        <v>1016</v>
      </c>
      <c r="C29" s="20" t="s">
        <v>6</v>
      </c>
      <c r="D29" s="20" t="str">
        <f t="shared" si="0"/>
        <v>Retailer</v>
      </c>
      <c r="E29" s="20" t="s">
        <v>2</v>
      </c>
      <c r="F29" s="45">
        <v>30</v>
      </c>
      <c r="G29" s="37">
        <f t="shared" si="1"/>
        <v>150</v>
      </c>
      <c r="H29" s="37">
        <f t="shared" si="2"/>
        <v>105</v>
      </c>
      <c r="J29" s="21"/>
      <c r="K29" s="21"/>
    </row>
    <row r="30" spans="1:25" x14ac:dyDescent="0.25">
      <c r="A30" s="36">
        <v>42279</v>
      </c>
      <c r="B30" s="20">
        <v>1017</v>
      </c>
      <c r="C30" s="20" t="s">
        <v>5</v>
      </c>
      <c r="D30" s="20" t="str">
        <f t="shared" si="0"/>
        <v>Direct</v>
      </c>
      <c r="E30" s="20" t="s">
        <v>2</v>
      </c>
      <c r="F30" s="45">
        <v>2</v>
      </c>
      <c r="G30" s="37">
        <f t="shared" si="1"/>
        <v>10</v>
      </c>
      <c r="H30" s="37">
        <f t="shared" si="2"/>
        <v>10</v>
      </c>
      <c r="J30" s="21"/>
      <c r="K30" s="21"/>
    </row>
    <row r="31" spans="1:25" x14ac:dyDescent="0.25">
      <c r="A31" s="36">
        <v>42279</v>
      </c>
      <c r="B31" s="20">
        <v>1018</v>
      </c>
      <c r="C31" s="20" t="s">
        <v>9</v>
      </c>
      <c r="D31" s="20" t="str">
        <f t="shared" si="0"/>
        <v>Retailer</v>
      </c>
      <c r="E31" s="20" t="s">
        <v>0</v>
      </c>
      <c r="F31" s="45">
        <v>28</v>
      </c>
      <c r="G31" s="37">
        <f t="shared" si="1"/>
        <v>280</v>
      </c>
      <c r="H31" s="37">
        <f t="shared" si="2"/>
        <v>196</v>
      </c>
      <c r="J31" s="21"/>
      <c r="K31" s="21"/>
    </row>
    <row r="32" spans="1:25" x14ac:dyDescent="0.25">
      <c r="A32" s="36">
        <v>42279</v>
      </c>
      <c r="B32" s="20">
        <v>1018</v>
      </c>
      <c r="C32" s="20" t="s">
        <v>9</v>
      </c>
      <c r="D32" s="20" t="str">
        <f t="shared" si="0"/>
        <v>Retailer</v>
      </c>
      <c r="E32" s="20" t="s">
        <v>3</v>
      </c>
      <c r="F32" s="45">
        <v>20</v>
      </c>
      <c r="G32" s="37">
        <f t="shared" si="1"/>
        <v>140</v>
      </c>
      <c r="H32" s="37">
        <f t="shared" si="2"/>
        <v>98</v>
      </c>
      <c r="J32" s="21"/>
      <c r="K32" s="21"/>
    </row>
    <row r="33" spans="1:8" x14ac:dyDescent="0.25">
      <c r="A33" s="36">
        <v>42279</v>
      </c>
      <c r="B33" s="20">
        <v>1019</v>
      </c>
      <c r="C33" s="20" t="s">
        <v>8</v>
      </c>
      <c r="D33" s="20" t="str">
        <f t="shared" si="0"/>
        <v>Wholesaler</v>
      </c>
      <c r="E33" s="20" t="s">
        <v>2</v>
      </c>
      <c r="F33" s="45">
        <v>50</v>
      </c>
      <c r="G33" s="37">
        <f t="shared" si="1"/>
        <v>250</v>
      </c>
      <c r="H33" s="37">
        <f t="shared" si="2"/>
        <v>112.5</v>
      </c>
    </row>
    <row r="34" spans="1:8" x14ac:dyDescent="0.25">
      <c r="A34" s="36">
        <v>42279</v>
      </c>
      <c r="B34" s="20">
        <v>1019</v>
      </c>
      <c r="C34" s="20" t="s">
        <v>8</v>
      </c>
      <c r="D34" s="20" t="str">
        <f t="shared" ref="D34:D61" si="3">VLOOKUP(C34,Customer_lookup,2,FALSE)</f>
        <v>Wholesaler</v>
      </c>
      <c r="E34" s="20" t="s">
        <v>2</v>
      </c>
      <c r="F34" s="45">
        <v>40</v>
      </c>
      <c r="G34" s="37">
        <f t="shared" ref="G34:G61" si="4">VLOOKUP(E34,Product_table,3,FALSE)*Quantity</f>
        <v>200</v>
      </c>
      <c r="H34" s="37">
        <f t="shared" ref="H34:H61" si="5">Retail_Price-VLOOKUP(D:D,Customer_seller,2,FALSE)*Retail_Price</f>
        <v>89.999999999999986</v>
      </c>
    </row>
    <row r="35" spans="1:8" x14ac:dyDescent="0.25">
      <c r="A35" s="36">
        <v>42280</v>
      </c>
      <c r="B35" s="20">
        <v>1020</v>
      </c>
      <c r="C35" s="20" t="s">
        <v>7</v>
      </c>
      <c r="D35" s="20" t="str">
        <f t="shared" si="3"/>
        <v>Wholesaler</v>
      </c>
      <c r="E35" s="20" t="s">
        <v>0</v>
      </c>
      <c r="F35" s="45">
        <v>75</v>
      </c>
      <c r="G35" s="37">
        <f t="shared" si="4"/>
        <v>750</v>
      </c>
      <c r="H35" s="37">
        <f t="shared" si="5"/>
        <v>337.49999999999994</v>
      </c>
    </row>
    <row r="36" spans="1:8" x14ac:dyDescent="0.25">
      <c r="A36" s="36">
        <v>42280</v>
      </c>
      <c r="B36" s="20">
        <v>1020</v>
      </c>
      <c r="C36" s="20" t="s">
        <v>7</v>
      </c>
      <c r="D36" s="20" t="str">
        <f t="shared" si="3"/>
        <v>Wholesaler</v>
      </c>
      <c r="E36" s="20" t="s">
        <v>2</v>
      </c>
      <c r="F36" s="45">
        <v>40</v>
      </c>
      <c r="G36" s="37">
        <f t="shared" si="4"/>
        <v>200</v>
      </c>
      <c r="H36" s="37">
        <f t="shared" si="5"/>
        <v>89.999999999999986</v>
      </c>
    </row>
    <row r="37" spans="1:8" x14ac:dyDescent="0.25">
      <c r="A37" s="36">
        <v>42280</v>
      </c>
      <c r="B37" s="20">
        <v>1021</v>
      </c>
      <c r="C37" s="20" t="s">
        <v>6</v>
      </c>
      <c r="D37" s="20" t="str">
        <f t="shared" si="3"/>
        <v>Retailer</v>
      </c>
      <c r="E37" s="20" t="s">
        <v>3</v>
      </c>
      <c r="F37" s="45">
        <v>27</v>
      </c>
      <c r="G37" s="37">
        <f t="shared" si="4"/>
        <v>189</v>
      </c>
      <c r="H37" s="37">
        <f t="shared" si="5"/>
        <v>132.30000000000001</v>
      </c>
    </row>
    <row r="38" spans="1:8" x14ac:dyDescent="0.25">
      <c r="A38" s="36">
        <v>42280</v>
      </c>
      <c r="B38" s="20">
        <v>1022</v>
      </c>
      <c r="C38" s="20" t="s">
        <v>5</v>
      </c>
      <c r="D38" s="20" t="str">
        <f t="shared" si="3"/>
        <v>Direct</v>
      </c>
      <c r="E38" s="20" t="s">
        <v>2</v>
      </c>
      <c r="F38" s="45">
        <v>2</v>
      </c>
      <c r="G38" s="37">
        <f t="shared" si="4"/>
        <v>10</v>
      </c>
      <c r="H38" s="37">
        <f t="shared" si="5"/>
        <v>10</v>
      </c>
    </row>
    <row r="39" spans="1:8" x14ac:dyDescent="0.25">
      <c r="A39" s="36">
        <v>42280</v>
      </c>
      <c r="B39" s="20">
        <v>1023</v>
      </c>
      <c r="C39" s="20" t="s">
        <v>4</v>
      </c>
      <c r="D39" s="20" t="str">
        <f t="shared" si="3"/>
        <v>Retailer</v>
      </c>
      <c r="E39" s="20" t="s">
        <v>0</v>
      </c>
      <c r="F39" s="45">
        <v>28</v>
      </c>
      <c r="G39" s="37">
        <f t="shared" si="4"/>
        <v>280</v>
      </c>
      <c r="H39" s="37">
        <f t="shared" si="5"/>
        <v>196</v>
      </c>
    </row>
    <row r="40" spans="1:8" x14ac:dyDescent="0.25">
      <c r="A40" s="36">
        <v>42280</v>
      </c>
      <c r="B40" s="20">
        <v>1024</v>
      </c>
      <c r="C40" s="20" t="s">
        <v>1</v>
      </c>
      <c r="D40" s="20" t="str">
        <f t="shared" si="3"/>
        <v>Retailer</v>
      </c>
      <c r="E40" s="20" t="s">
        <v>3</v>
      </c>
      <c r="F40" s="45">
        <v>35</v>
      </c>
      <c r="G40" s="37">
        <f t="shared" si="4"/>
        <v>245</v>
      </c>
      <c r="H40" s="37">
        <f t="shared" si="5"/>
        <v>171.5</v>
      </c>
    </row>
    <row r="41" spans="1:8" x14ac:dyDescent="0.25">
      <c r="A41" s="36">
        <v>42280</v>
      </c>
      <c r="B41" s="20">
        <v>1024</v>
      </c>
      <c r="C41" s="20" t="s">
        <v>1</v>
      </c>
      <c r="D41" s="20" t="str">
        <f t="shared" si="3"/>
        <v>Retailer</v>
      </c>
      <c r="E41" s="20" t="s">
        <v>0</v>
      </c>
      <c r="F41" s="45">
        <v>40</v>
      </c>
      <c r="G41" s="37">
        <f t="shared" si="4"/>
        <v>400</v>
      </c>
      <c r="H41" s="37">
        <f t="shared" si="5"/>
        <v>280</v>
      </c>
    </row>
    <row r="42" spans="1:8" x14ac:dyDescent="0.25">
      <c r="A42" s="36">
        <v>42309</v>
      </c>
      <c r="B42" s="20">
        <v>1025</v>
      </c>
      <c r="C42" s="20" t="s">
        <v>7</v>
      </c>
      <c r="D42" s="20" t="str">
        <f t="shared" si="3"/>
        <v>Wholesaler</v>
      </c>
      <c r="E42" s="20" t="s">
        <v>3</v>
      </c>
      <c r="F42" s="45">
        <v>300</v>
      </c>
      <c r="G42" s="37">
        <f t="shared" si="4"/>
        <v>2100</v>
      </c>
      <c r="H42" s="37">
        <f t="shared" si="5"/>
        <v>945</v>
      </c>
    </row>
    <row r="43" spans="1:8" x14ac:dyDescent="0.25">
      <c r="A43" s="36">
        <v>42309</v>
      </c>
      <c r="B43" s="20">
        <v>1025</v>
      </c>
      <c r="C43" s="20" t="s">
        <v>7</v>
      </c>
      <c r="D43" s="20" t="str">
        <f t="shared" si="3"/>
        <v>Wholesaler</v>
      </c>
      <c r="E43" s="20" t="s">
        <v>0</v>
      </c>
      <c r="F43" s="45">
        <v>34</v>
      </c>
      <c r="G43" s="37">
        <f t="shared" si="4"/>
        <v>340</v>
      </c>
      <c r="H43" s="37">
        <f t="shared" si="5"/>
        <v>152.99999999999997</v>
      </c>
    </row>
    <row r="44" spans="1:8" x14ac:dyDescent="0.25">
      <c r="A44" s="36">
        <v>42309</v>
      </c>
      <c r="B44" s="20">
        <v>1026</v>
      </c>
      <c r="C44" s="20" t="s">
        <v>1</v>
      </c>
      <c r="D44" s="20" t="str">
        <f t="shared" si="3"/>
        <v>Retailer</v>
      </c>
      <c r="E44" s="20" t="s">
        <v>0</v>
      </c>
      <c r="F44" s="45">
        <v>35</v>
      </c>
      <c r="G44" s="37">
        <f t="shared" si="4"/>
        <v>350</v>
      </c>
      <c r="H44" s="37">
        <f t="shared" si="5"/>
        <v>245</v>
      </c>
    </row>
    <row r="45" spans="1:8" x14ac:dyDescent="0.25">
      <c r="A45" s="36">
        <v>42309</v>
      </c>
      <c r="B45" s="20">
        <v>1026</v>
      </c>
      <c r="C45" s="20" t="s">
        <v>1</v>
      </c>
      <c r="D45" s="20" t="str">
        <f t="shared" si="3"/>
        <v>Retailer</v>
      </c>
      <c r="E45" s="20" t="s">
        <v>3</v>
      </c>
      <c r="F45" s="45">
        <v>30</v>
      </c>
      <c r="G45" s="37">
        <f t="shared" si="4"/>
        <v>210</v>
      </c>
      <c r="H45" s="37">
        <f t="shared" si="5"/>
        <v>147</v>
      </c>
    </row>
    <row r="46" spans="1:8" x14ac:dyDescent="0.25">
      <c r="A46" s="36">
        <v>42309</v>
      </c>
      <c r="B46" s="20">
        <v>1026</v>
      </c>
      <c r="C46" s="20" t="s">
        <v>1</v>
      </c>
      <c r="D46" s="20" t="str">
        <f t="shared" si="3"/>
        <v>Retailer</v>
      </c>
      <c r="E46" s="20" t="s">
        <v>2</v>
      </c>
      <c r="F46" s="45">
        <v>33</v>
      </c>
      <c r="G46" s="37">
        <f t="shared" si="4"/>
        <v>165</v>
      </c>
      <c r="H46" s="37">
        <f>Retail_Price-VLOOKUP(D:D,Customer_seller,2,FALSE)*Retail_Price</f>
        <v>115.5</v>
      </c>
    </row>
    <row r="47" spans="1:8" x14ac:dyDescent="0.25">
      <c r="A47" s="36">
        <v>42309</v>
      </c>
      <c r="B47" s="20">
        <v>1027</v>
      </c>
      <c r="C47" s="20" t="s">
        <v>4</v>
      </c>
      <c r="D47" s="20" t="str">
        <f t="shared" si="3"/>
        <v>Retailer</v>
      </c>
      <c r="E47" s="20" t="s">
        <v>3</v>
      </c>
      <c r="F47" s="45">
        <v>45</v>
      </c>
      <c r="G47" s="37">
        <f t="shared" si="4"/>
        <v>315</v>
      </c>
      <c r="H47" s="37">
        <f t="shared" si="5"/>
        <v>220.5</v>
      </c>
    </row>
    <row r="48" spans="1:8" x14ac:dyDescent="0.25">
      <c r="A48" s="36">
        <v>42309</v>
      </c>
      <c r="B48" s="20">
        <v>1028</v>
      </c>
      <c r="C48" s="20" t="s">
        <v>6</v>
      </c>
      <c r="D48" s="20" t="str">
        <f t="shared" si="3"/>
        <v>Retailer</v>
      </c>
      <c r="E48" s="20" t="s">
        <v>2</v>
      </c>
      <c r="F48" s="45">
        <v>30</v>
      </c>
      <c r="G48" s="37">
        <f t="shared" si="4"/>
        <v>150</v>
      </c>
      <c r="H48" s="37">
        <f t="shared" si="5"/>
        <v>105</v>
      </c>
    </row>
    <row r="49" spans="1:8" x14ac:dyDescent="0.25">
      <c r="A49" s="36">
        <v>42309</v>
      </c>
      <c r="B49" s="20">
        <v>1028</v>
      </c>
      <c r="C49" s="20" t="s">
        <v>6</v>
      </c>
      <c r="D49" s="20" t="str">
        <f t="shared" si="3"/>
        <v>Retailer</v>
      </c>
      <c r="E49" s="20" t="s">
        <v>2</v>
      </c>
      <c r="F49" s="45">
        <v>30</v>
      </c>
      <c r="G49" s="37">
        <f t="shared" si="4"/>
        <v>150</v>
      </c>
      <c r="H49" s="37">
        <f t="shared" si="5"/>
        <v>105</v>
      </c>
    </row>
    <row r="50" spans="1:8" x14ac:dyDescent="0.25">
      <c r="A50" s="36">
        <v>42310</v>
      </c>
      <c r="B50" s="20">
        <v>1029</v>
      </c>
      <c r="C50" s="20" t="s">
        <v>5</v>
      </c>
      <c r="D50" s="20" t="str">
        <f t="shared" si="3"/>
        <v>Direct</v>
      </c>
      <c r="E50" s="20" t="s">
        <v>0</v>
      </c>
      <c r="F50" s="45">
        <v>3</v>
      </c>
      <c r="G50" s="37">
        <f t="shared" si="4"/>
        <v>30</v>
      </c>
      <c r="H50" s="37">
        <f t="shared" si="5"/>
        <v>30</v>
      </c>
    </row>
    <row r="51" spans="1:8" x14ac:dyDescent="0.25">
      <c r="A51" s="36">
        <v>42310</v>
      </c>
      <c r="B51" s="20">
        <v>1030</v>
      </c>
      <c r="C51" s="20" t="s">
        <v>9</v>
      </c>
      <c r="D51" s="20" t="str">
        <f t="shared" si="3"/>
        <v>Retailer</v>
      </c>
      <c r="E51" s="20" t="s">
        <v>3</v>
      </c>
      <c r="F51" s="45">
        <v>38</v>
      </c>
      <c r="G51" s="37">
        <f t="shared" si="4"/>
        <v>266</v>
      </c>
      <c r="H51" s="37">
        <f t="shared" si="5"/>
        <v>186.2</v>
      </c>
    </row>
    <row r="52" spans="1:8" x14ac:dyDescent="0.25">
      <c r="A52" s="36">
        <v>42310</v>
      </c>
      <c r="B52" s="20">
        <v>1030</v>
      </c>
      <c r="C52" s="20" t="s">
        <v>9</v>
      </c>
      <c r="D52" s="20" t="str">
        <f t="shared" si="3"/>
        <v>Retailer</v>
      </c>
      <c r="E52" s="20" t="s">
        <v>2</v>
      </c>
      <c r="F52" s="45">
        <v>30</v>
      </c>
      <c r="G52" s="37">
        <f t="shared" si="4"/>
        <v>150</v>
      </c>
      <c r="H52" s="37">
        <f t="shared" si="5"/>
        <v>105</v>
      </c>
    </row>
    <row r="53" spans="1:8" x14ac:dyDescent="0.25">
      <c r="A53" s="36">
        <v>42310</v>
      </c>
      <c r="B53" s="20">
        <v>1031</v>
      </c>
      <c r="C53" s="20" t="s">
        <v>8</v>
      </c>
      <c r="D53" s="20" t="str">
        <f t="shared" si="3"/>
        <v>Wholesaler</v>
      </c>
      <c r="E53" s="20" t="s">
        <v>2</v>
      </c>
      <c r="F53" s="45">
        <v>50</v>
      </c>
      <c r="G53" s="37">
        <f t="shared" si="4"/>
        <v>250</v>
      </c>
      <c r="H53" s="37">
        <f t="shared" si="5"/>
        <v>112.5</v>
      </c>
    </row>
    <row r="54" spans="1:8" x14ac:dyDescent="0.25">
      <c r="A54" s="36">
        <v>42310</v>
      </c>
      <c r="B54" s="20">
        <v>1031</v>
      </c>
      <c r="C54" s="20" t="s">
        <v>8</v>
      </c>
      <c r="D54" s="20" t="str">
        <f t="shared" si="3"/>
        <v>Wholesaler</v>
      </c>
      <c r="E54" s="20" t="s">
        <v>0</v>
      </c>
      <c r="F54" s="45">
        <v>40</v>
      </c>
      <c r="G54" s="37">
        <f t="shared" si="4"/>
        <v>400</v>
      </c>
      <c r="H54" s="37">
        <f t="shared" si="5"/>
        <v>179.99999999999997</v>
      </c>
    </row>
    <row r="55" spans="1:8" x14ac:dyDescent="0.25">
      <c r="A55" s="36">
        <v>42311</v>
      </c>
      <c r="B55" s="20">
        <v>1032</v>
      </c>
      <c r="C55" s="20" t="s">
        <v>7</v>
      </c>
      <c r="D55" s="20" t="str">
        <f t="shared" si="3"/>
        <v>Wholesaler</v>
      </c>
      <c r="E55" s="20" t="s">
        <v>2</v>
      </c>
      <c r="F55" s="45">
        <v>75</v>
      </c>
      <c r="G55" s="37">
        <f t="shared" si="4"/>
        <v>375</v>
      </c>
      <c r="H55" s="37">
        <f t="shared" si="5"/>
        <v>168.74999999999997</v>
      </c>
    </row>
    <row r="56" spans="1:8" x14ac:dyDescent="0.25">
      <c r="A56" s="36">
        <v>42311</v>
      </c>
      <c r="B56" s="20">
        <v>1032</v>
      </c>
      <c r="C56" s="20" t="s">
        <v>7</v>
      </c>
      <c r="D56" s="20" t="str">
        <f t="shared" si="3"/>
        <v>Wholesaler</v>
      </c>
      <c r="E56" s="20" t="s">
        <v>3</v>
      </c>
      <c r="F56" s="45">
        <v>40</v>
      </c>
      <c r="G56" s="37">
        <f t="shared" si="4"/>
        <v>280</v>
      </c>
      <c r="H56" s="37">
        <f t="shared" si="5"/>
        <v>126</v>
      </c>
    </row>
    <row r="57" spans="1:8" x14ac:dyDescent="0.25">
      <c r="A57" s="36">
        <v>42311</v>
      </c>
      <c r="B57" s="20">
        <v>1033</v>
      </c>
      <c r="C57" s="20" t="s">
        <v>6</v>
      </c>
      <c r="D57" s="20" t="str">
        <f t="shared" si="3"/>
        <v>Retailer</v>
      </c>
      <c r="E57" s="20" t="s">
        <v>2</v>
      </c>
      <c r="F57" s="45">
        <v>37</v>
      </c>
      <c r="G57" s="37">
        <f t="shared" si="4"/>
        <v>185</v>
      </c>
      <c r="H57" s="37">
        <f t="shared" si="5"/>
        <v>129.5</v>
      </c>
    </row>
    <row r="58" spans="1:8" x14ac:dyDescent="0.25">
      <c r="A58" s="36">
        <v>42311</v>
      </c>
      <c r="B58" s="20">
        <v>1034</v>
      </c>
      <c r="C58" s="20" t="s">
        <v>5</v>
      </c>
      <c r="D58" s="20" t="str">
        <f t="shared" si="3"/>
        <v>Direct</v>
      </c>
      <c r="E58" s="20" t="s">
        <v>0</v>
      </c>
      <c r="F58" s="45">
        <v>3</v>
      </c>
      <c r="G58" s="37">
        <f t="shared" si="4"/>
        <v>30</v>
      </c>
      <c r="H58" s="37">
        <f t="shared" si="5"/>
        <v>30</v>
      </c>
    </row>
    <row r="59" spans="1:8" x14ac:dyDescent="0.25">
      <c r="A59" s="36">
        <v>42311</v>
      </c>
      <c r="B59" s="20">
        <v>1035</v>
      </c>
      <c r="C59" s="20" t="s">
        <v>4</v>
      </c>
      <c r="D59" s="20" t="str">
        <f t="shared" si="3"/>
        <v>Retailer</v>
      </c>
      <c r="E59" s="20" t="s">
        <v>3</v>
      </c>
      <c r="F59" s="45">
        <v>38</v>
      </c>
      <c r="G59" s="37">
        <f t="shared" si="4"/>
        <v>266</v>
      </c>
      <c r="H59" s="37">
        <f t="shared" si="5"/>
        <v>186.2</v>
      </c>
    </row>
    <row r="60" spans="1:8" x14ac:dyDescent="0.25">
      <c r="A60" s="36">
        <v>42311</v>
      </c>
      <c r="B60" s="20">
        <v>1036</v>
      </c>
      <c r="C60" s="20" t="s">
        <v>1</v>
      </c>
      <c r="D60" s="20" t="str">
        <f t="shared" si="3"/>
        <v>Retailer</v>
      </c>
      <c r="E60" s="20" t="s">
        <v>2</v>
      </c>
      <c r="F60" s="45">
        <v>35</v>
      </c>
      <c r="G60" s="37">
        <f t="shared" si="4"/>
        <v>175</v>
      </c>
      <c r="H60" s="37">
        <f t="shared" si="5"/>
        <v>122.5</v>
      </c>
    </row>
    <row r="61" spans="1:8" x14ac:dyDescent="0.25">
      <c r="A61" s="36">
        <v>42311</v>
      </c>
      <c r="B61" s="20">
        <v>1036</v>
      </c>
      <c r="C61" s="20" t="s">
        <v>1</v>
      </c>
      <c r="D61" s="20" t="str">
        <f t="shared" si="3"/>
        <v>Retailer</v>
      </c>
      <c r="E61" s="20" t="s">
        <v>0</v>
      </c>
      <c r="F61" s="45">
        <v>40</v>
      </c>
      <c r="G61" s="37">
        <f t="shared" si="4"/>
        <v>400</v>
      </c>
      <c r="H61" s="37">
        <f t="shared" si="5"/>
        <v>280</v>
      </c>
    </row>
    <row r="62" spans="1:8" x14ac:dyDescent="0.25">
      <c r="A62" s="36">
        <v>42588</v>
      </c>
      <c r="B62" s="20">
        <v>1037</v>
      </c>
      <c r="D62" s="20" t="s">
        <v>20</v>
      </c>
      <c r="E62" s="20" t="s">
        <v>0</v>
      </c>
      <c r="F62" s="45">
        <v>30</v>
      </c>
      <c r="G62" s="37">
        <v>300</v>
      </c>
      <c r="H62" s="37">
        <v>135</v>
      </c>
    </row>
    <row r="63" spans="1:8" x14ac:dyDescent="0.25">
      <c r="A63" s="36"/>
    </row>
  </sheetData>
  <sheetProtection selectLockedCells="1" selectUnlockedCells="1"/>
  <autoFilter ref="A1:H61"/>
  <conditionalFormatting sqref="B62:B104857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62:F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6:H1048576 H62:H64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2:E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2:G1048576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{C6A77210-8DD7-4887-847D-A8FFC32D8E61}</x14:id>
        </ext>
      </extLst>
    </cfRule>
  </conditionalFormatting>
  <conditionalFormatting sqref="A1:A61">
    <cfRule type="colorScale" priority="12">
      <colorScale>
        <cfvo type="min"/>
        <cfvo type="max"/>
        <color rgb="FF63BE7B"/>
        <color rgb="FFFCFCFF"/>
      </colorScale>
    </cfRule>
  </conditionalFormatting>
  <conditionalFormatting sqref="B1:B6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61">
    <cfRule type="colorScale" priority="8">
      <colorScale>
        <cfvo type="min"/>
        <cfvo type="max"/>
        <color rgb="FFFFEF9C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6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{1F7ABB53-2378-4F4D-87E1-D6B21936859F}</x14:id>
        </ext>
      </extLst>
    </cfRule>
  </conditionalFormatting>
  <conditionalFormatting sqref="F1:F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6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{95FF475A-C3AD-4E0E-8EDC-3DAB64A4B0D8}</x14:id>
        </ext>
      </extLst>
    </cfRule>
    <cfRule type="colorScale" priority="6">
      <colorScale>
        <cfvo type="min"/>
        <cfvo type="max"/>
        <color rgb="FFFFEF9C"/>
        <color rgb="FF63BE7B"/>
      </colorScale>
    </cfRule>
  </conditionalFormatting>
  <conditionalFormatting sqref="H1:H6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1:E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7">
    <dataValidation type="date" operator="greaterThan" allowBlank="1" showInputMessage="1" showErrorMessage="1" sqref="A1:A1048576">
      <formula1>42005</formula1>
    </dataValidation>
    <dataValidation type="whole" operator="greaterThan" allowBlank="1" showInputMessage="1" showErrorMessage="1" sqref="B1:B1048576">
      <formula1>1000</formula1>
    </dataValidation>
    <dataValidation type="list" allowBlank="1" showInputMessage="1" showErrorMessage="1" sqref="E1:E1048576">
      <formula1>$E$4:$E$6</formula1>
    </dataValidation>
    <dataValidation type="list" allowBlank="1" showInputMessage="1" showErrorMessage="1" sqref="D1:D61 D63">
      <formula1>$D$56:$D$58</formula1>
    </dataValidation>
    <dataValidation type="list" showInputMessage="1" showErrorMessage="1" sqref="C1:C61 C64:C1048576">
      <formula1>$C$16:$C$20</formula1>
    </dataValidation>
    <dataValidation type="list" showInputMessage="1" showErrorMessage="1" sqref="C62">
      <formula1>$C$58:$C$60</formula1>
    </dataValidation>
    <dataValidation type="list" allowBlank="1" showInputMessage="1" showErrorMessage="1" sqref="D62">
      <formula1>$D$16:$D$18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ProgramInvoice">
                <anchor moveWithCells="1" sizeWithCells="1">
                  <from>
                    <xdr:col>9</xdr:col>
                    <xdr:colOff>123825</xdr:colOff>
                    <xdr:row>13</xdr:row>
                    <xdr:rowOff>57150</xdr:rowOff>
                  </from>
                  <to>
                    <xdr:col>11</xdr:col>
                    <xdr:colOff>828675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Printpage">
                <anchor moveWithCells="1" sizeWithCells="1">
                  <from>
                    <xdr:col>9</xdr:col>
                    <xdr:colOff>104775</xdr:colOff>
                    <xdr:row>20</xdr:row>
                    <xdr:rowOff>66675</xdr:rowOff>
                  </from>
                  <to>
                    <xdr:col>11</xdr:col>
                    <xdr:colOff>828675</xdr:colOff>
                    <xdr:row>26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A77210-8DD7-4887-847D-A8FFC32D8E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G62:G1048576</xm:sqref>
        </x14:conditionalFormatting>
        <x14:conditionalFormatting xmlns:xm="http://schemas.microsoft.com/office/excel/2006/main">
          <x14:cfRule type="dataBar" id="{1F7ABB53-2378-4F4D-87E1-D6B2193685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C2:C61</xm:sqref>
        </x14:conditionalFormatting>
        <x14:conditionalFormatting xmlns:xm="http://schemas.microsoft.com/office/excel/2006/main">
          <x14:cfRule type="dataBar" id="{95FF475A-C3AD-4E0E-8EDC-3DAB64A4B0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G1:G61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Customer!$A$2:$A$8</xm:f>
          </x14:formula1>
          <xm:sqref>C63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B1:G14"/>
  <sheetViews>
    <sheetView showGridLines="0" workbookViewId="0">
      <selection activeCell="D30" sqref="D30"/>
    </sheetView>
  </sheetViews>
  <sheetFormatPr defaultColWidth="8.85546875" defaultRowHeight="15" outlineLevelRow="1" outlineLevelCol="1" x14ac:dyDescent="0.25"/>
  <cols>
    <col min="3" max="3" width="21.42578125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4" t="s">
        <v>41</v>
      </c>
      <c r="C2" s="4"/>
      <c r="D2" s="9"/>
      <c r="E2" s="9"/>
      <c r="F2" s="9"/>
      <c r="G2" s="9"/>
    </row>
    <row r="3" spans="2:7" ht="15.75" collapsed="1" x14ac:dyDescent="0.25">
      <c r="B3" s="3"/>
      <c r="C3" s="3"/>
      <c r="D3" s="10" t="s">
        <v>43</v>
      </c>
      <c r="E3" s="10" t="s">
        <v>38</v>
      </c>
      <c r="F3" s="10" t="s">
        <v>39</v>
      </c>
      <c r="G3" s="10" t="s">
        <v>40</v>
      </c>
    </row>
    <row r="4" spans="2:7" ht="78.75" hidden="1" outlineLevel="1" x14ac:dyDescent="0.25">
      <c r="B4" s="6"/>
      <c r="C4" s="6"/>
      <c r="D4" s="2"/>
      <c r="E4" s="12" t="s">
        <v>48</v>
      </c>
      <c r="F4" s="12" t="s">
        <v>48</v>
      </c>
      <c r="G4" s="12" t="s">
        <v>48</v>
      </c>
    </row>
    <row r="5" spans="2:7" x14ac:dyDescent="0.25">
      <c r="B5" s="7" t="s">
        <v>42</v>
      </c>
      <c r="C5" s="7"/>
      <c r="D5" s="5"/>
      <c r="E5" s="5"/>
      <c r="F5" s="5"/>
      <c r="G5" s="5"/>
    </row>
    <row r="6" spans="2:7" outlineLevel="1" x14ac:dyDescent="0.25">
      <c r="B6" s="6"/>
      <c r="C6" s="6" t="s">
        <v>0</v>
      </c>
      <c r="D6" s="2">
        <v>761</v>
      </c>
      <c r="E6" s="11">
        <v>10</v>
      </c>
      <c r="F6" s="11">
        <v>12</v>
      </c>
      <c r="G6" s="11">
        <v>11</v>
      </c>
    </row>
    <row r="7" spans="2:7" outlineLevel="1" x14ac:dyDescent="0.25">
      <c r="B7" s="6"/>
      <c r="C7" s="6" t="s">
        <v>3</v>
      </c>
      <c r="D7" s="2">
        <v>791</v>
      </c>
      <c r="E7" s="11">
        <v>7</v>
      </c>
      <c r="F7" s="11">
        <v>8</v>
      </c>
      <c r="G7" s="11">
        <v>7</v>
      </c>
    </row>
    <row r="8" spans="2:7" outlineLevel="1" x14ac:dyDescent="0.25">
      <c r="B8" s="6"/>
      <c r="C8" s="6" t="s">
        <v>2</v>
      </c>
      <c r="D8" s="2">
        <v>819</v>
      </c>
      <c r="E8" s="11">
        <v>5</v>
      </c>
      <c r="F8" s="11">
        <v>6</v>
      </c>
      <c r="G8" s="11">
        <v>4.5</v>
      </c>
    </row>
    <row r="9" spans="2:7" x14ac:dyDescent="0.25">
      <c r="B9" s="7" t="s">
        <v>44</v>
      </c>
      <c r="C9" s="7"/>
      <c r="D9" s="5"/>
      <c r="E9" s="5"/>
      <c r="F9" s="5"/>
      <c r="G9" s="5"/>
    </row>
    <row r="10" spans="2:7" outlineLevel="1" x14ac:dyDescent="0.25">
      <c r="B10" s="6"/>
      <c r="C10" s="6" t="s">
        <v>35</v>
      </c>
      <c r="D10" s="13">
        <v>17242</v>
      </c>
      <c r="E10" s="13">
        <v>174</v>
      </c>
      <c r="F10" s="13">
        <v>206</v>
      </c>
      <c r="G10" s="13">
        <v>181.5</v>
      </c>
    </row>
    <row r="11" spans="2:7" ht="15.75" outlineLevel="1" thickBot="1" x14ac:dyDescent="0.3">
      <c r="B11" s="8"/>
      <c r="C11" s="8" t="s">
        <v>36</v>
      </c>
      <c r="D11" s="14">
        <v>9630.65</v>
      </c>
      <c r="E11" s="14">
        <v>9630.65</v>
      </c>
      <c r="F11" s="14">
        <v>9630.65</v>
      </c>
      <c r="G11" s="14">
        <v>9630.65</v>
      </c>
    </row>
    <row r="12" spans="2:7" x14ac:dyDescent="0.25">
      <c r="B12" t="s">
        <v>45</v>
      </c>
    </row>
    <row r="13" spans="2:7" x14ac:dyDescent="0.25">
      <c r="B13" t="s">
        <v>46</v>
      </c>
    </row>
    <row r="14" spans="2:7" x14ac:dyDescent="0.25">
      <c r="B14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"/>
  <sheetViews>
    <sheetView topLeftCell="F1" zoomScale="75" zoomScaleNormal="60" zoomScalePageLayoutView="60" workbookViewId="0">
      <selection activeCell="L23" sqref="L23"/>
    </sheetView>
  </sheetViews>
  <sheetFormatPr defaultColWidth="8.85546875" defaultRowHeight="15" x14ac:dyDescent="0.25"/>
  <cols>
    <col min="2" max="2" width="11.42578125" customWidth="1"/>
    <col min="3" max="3" width="18.140625" customWidth="1"/>
    <col min="4" max="4" width="23.42578125" customWidth="1"/>
    <col min="5" max="5" width="22" customWidth="1"/>
    <col min="6" max="6" width="14.42578125" customWidth="1"/>
    <col min="7" max="7" width="25.42578125" customWidth="1"/>
    <col min="8" max="8" width="21.140625" customWidth="1"/>
    <col min="9" max="9" width="13.28515625" customWidth="1"/>
  </cols>
  <sheetData>
    <row r="1" spans="1:36" x14ac:dyDescent="0.25">
      <c r="A1" s="24" t="s">
        <v>11</v>
      </c>
      <c r="B1" s="24" t="s">
        <v>30</v>
      </c>
      <c r="C1" s="24" t="s">
        <v>33</v>
      </c>
      <c r="D1" s="24" t="s">
        <v>31</v>
      </c>
      <c r="E1" s="24" t="s">
        <v>32</v>
      </c>
      <c r="F1" s="24" t="s">
        <v>34</v>
      </c>
      <c r="G1" s="24" t="s">
        <v>35</v>
      </c>
      <c r="H1" s="24" t="s">
        <v>36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x14ac:dyDescent="0.25">
      <c r="A2" s="24" t="s">
        <v>0</v>
      </c>
      <c r="B2" s="24">
        <v>761</v>
      </c>
      <c r="C2" s="24">
        <f>SUMIFS(Quantity,Product,A2,Customer_type,"Wholesaler")</f>
        <v>554</v>
      </c>
      <c r="D2" s="24">
        <f>SUMIFS(Quantity,Product,A2,Customer_type,"retailer")</f>
        <v>229</v>
      </c>
      <c r="E2" s="24">
        <f>SUMIFS(Quantity,Product,A2,Customer_type,"Direct")</f>
        <v>8</v>
      </c>
      <c r="F2" s="33">
        <v>10</v>
      </c>
      <c r="G2" s="28">
        <f>F2*B2</f>
        <v>7610</v>
      </c>
      <c r="H2" s="24">
        <f>F2*C2*45%+D2*F2*70%+F2*E2</f>
        <v>4176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</row>
    <row r="3" spans="1:36" x14ac:dyDescent="0.25">
      <c r="A3" s="24" t="s">
        <v>3</v>
      </c>
      <c r="B3" s="24">
        <v>791</v>
      </c>
      <c r="C3" s="24">
        <f>SUMIFS(Quantity,Product,A3,Customer_type,"Wholesaler")</f>
        <v>388</v>
      </c>
      <c r="D3" s="24">
        <f>SUMIFS(Quantity,Product,A3,Customer_type,"retailer")</f>
        <v>403</v>
      </c>
      <c r="E3" s="24">
        <f>SUMIFS(Quantity,Product,A3,Customer_type,"Direct")</f>
        <v>0</v>
      </c>
      <c r="F3" s="33">
        <v>7</v>
      </c>
      <c r="G3" s="28">
        <f t="shared" ref="G3:G4" si="0">F3*B3</f>
        <v>5537</v>
      </c>
      <c r="H3" s="24">
        <f t="shared" ref="H3:H4" si="1">F3*C3*45%+D3*F3*70%+F3*E3</f>
        <v>3196.8999999999996</v>
      </c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6" x14ac:dyDescent="0.25">
      <c r="A4" s="24" t="s">
        <v>2</v>
      </c>
      <c r="B4" s="24">
        <v>819</v>
      </c>
      <c r="C4" s="24">
        <f>SUMIFS(Quantity,Product,A4,Customer_type,"Wholesaler")</f>
        <v>385</v>
      </c>
      <c r="D4" s="24">
        <f>SUMIFS(Quantity,Product,A4,Customer_type,"retailer")</f>
        <v>429</v>
      </c>
      <c r="E4" s="24">
        <f>SUMIFS(Quantity,Product,A4,Customer_type,"Direct")</f>
        <v>5</v>
      </c>
      <c r="F4" s="33">
        <v>5</v>
      </c>
      <c r="G4" s="28">
        <f t="shared" si="0"/>
        <v>4095</v>
      </c>
      <c r="H4" s="24">
        <f t="shared" si="1"/>
        <v>2392.75</v>
      </c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</row>
    <row r="5" spans="1:36" x14ac:dyDescent="0.25">
      <c r="A5" s="24" t="s">
        <v>37</v>
      </c>
      <c r="B5" s="24">
        <f t="shared" ref="B5:H5" si="2">B2+B3+B4</f>
        <v>2371</v>
      </c>
      <c r="C5" s="24">
        <f t="shared" si="2"/>
        <v>1327</v>
      </c>
      <c r="D5" s="24">
        <f>D2+D3+D4</f>
        <v>1061</v>
      </c>
      <c r="E5" s="24">
        <f t="shared" si="2"/>
        <v>13</v>
      </c>
      <c r="F5" s="28">
        <f t="shared" si="2"/>
        <v>22</v>
      </c>
      <c r="G5" s="32">
        <f>G2+G3+G4</f>
        <v>17242</v>
      </c>
      <c r="H5" s="31">
        <f t="shared" si="2"/>
        <v>9765.65</v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</row>
    <row r="6" spans="1:36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</row>
    <row r="7" spans="1:36" ht="15.75" thickBot="1" x14ac:dyDescent="0.3">
      <c r="A7" s="24"/>
      <c r="B7" s="24"/>
      <c r="C7" s="24"/>
      <c r="D7" s="24"/>
      <c r="E7" s="24"/>
      <c r="F7" s="24" t="s">
        <v>49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36" ht="15.75" x14ac:dyDescent="0.25">
      <c r="D8" s="4" t="s">
        <v>41</v>
      </c>
      <c r="E8" s="4"/>
      <c r="F8" s="9"/>
      <c r="G8" s="9"/>
      <c r="H8" s="9"/>
      <c r="I8" s="9"/>
    </row>
    <row r="9" spans="1:36" ht="15.75" x14ac:dyDescent="0.25">
      <c r="D9" s="3"/>
      <c r="E9" s="3"/>
      <c r="F9" s="10" t="s">
        <v>43</v>
      </c>
      <c r="G9" s="10" t="s">
        <v>38</v>
      </c>
      <c r="H9" s="10" t="s">
        <v>39</v>
      </c>
      <c r="I9" s="10" t="s">
        <v>40</v>
      </c>
    </row>
    <row r="10" spans="1:36" x14ac:dyDescent="0.25">
      <c r="D10" s="7" t="s">
        <v>42</v>
      </c>
      <c r="E10" s="7"/>
      <c r="F10" s="15"/>
      <c r="G10" s="15"/>
      <c r="H10" s="15"/>
      <c r="I10" s="15"/>
    </row>
    <row r="11" spans="1:36" x14ac:dyDescent="0.25">
      <c r="D11" s="6"/>
      <c r="E11" s="6" t="s">
        <v>0</v>
      </c>
      <c r="F11" s="16">
        <v>761</v>
      </c>
      <c r="G11" s="11">
        <v>10</v>
      </c>
      <c r="H11" s="11">
        <v>12</v>
      </c>
      <c r="I11" s="11">
        <v>11</v>
      </c>
    </row>
    <row r="12" spans="1:36" x14ac:dyDescent="0.25">
      <c r="D12" s="6"/>
      <c r="E12" s="6" t="s">
        <v>3</v>
      </c>
      <c r="F12" s="16">
        <v>791</v>
      </c>
      <c r="G12" s="11">
        <v>7</v>
      </c>
      <c r="H12" s="11">
        <v>8</v>
      </c>
      <c r="I12" s="11">
        <v>7</v>
      </c>
    </row>
    <row r="13" spans="1:36" x14ac:dyDescent="0.25">
      <c r="D13" s="6"/>
      <c r="E13" s="6" t="s">
        <v>2</v>
      </c>
      <c r="F13" s="16">
        <v>819</v>
      </c>
      <c r="G13" s="11">
        <v>5</v>
      </c>
      <c r="H13" s="11">
        <v>6</v>
      </c>
      <c r="I13" s="11">
        <v>4.5</v>
      </c>
    </row>
    <row r="14" spans="1:36" x14ac:dyDescent="0.25">
      <c r="D14" s="7" t="s">
        <v>44</v>
      </c>
      <c r="E14" s="7"/>
      <c r="F14" s="17"/>
      <c r="G14" s="17"/>
      <c r="H14" s="17"/>
      <c r="I14" s="17"/>
    </row>
    <row r="15" spans="1:36" x14ac:dyDescent="0.25">
      <c r="D15" s="6"/>
      <c r="E15" s="6" t="s">
        <v>35</v>
      </c>
      <c r="F15" s="18">
        <v>17242</v>
      </c>
      <c r="G15" s="18">
        <v>174</v>
      </c>
      <c r="H15" s="18">
        <v>206</v>
      </c>
      <c r="I15" s="18">
        <v>181.5</v>
      </c>
    </row>
    <row r="16" spans="1:36" ht="15.75" thickBot="1" x14ac:dyDescent="0.3">
      <c r="A16" t="s">
        <v>52</v>
      </c>
      <c r="D16" s="8"/>
      <c r="E16" s="8" t="s">
        <v>36</v>
      </c>
      <c r="F16" s="19">
        <v>9630.65</v>
      </c>
      <c r="G16" s="19">
        <v>9630.65</v>
      </c>
      <c r="H16" s="19">
        <v>9630.65</v>
      </c>
      <c r="I16" s="19">
        <v>9630.65</v>
      </c>
    </row>
    <row r="20" spans="4:4" x14ac:dyDescent="0.25">
      <c r="D20" t="s">
        <v>50</v>
      </c>
    </row>
  </sheetData>
  <sheetProtection selectLockedCells="1" selectUnlockedCells="1"/>
  <scenarios current="2" show="2" sqref="G5:H5">
    <scenario name="Case 1" locked="1" count="3" user="Darius's PC" comment="Created by Darius's PC on 31/03/2016_x000a_Modified by Darius's PC on 31/03/2016">
      <inputCells r="B2" val="761"/>
      <inputCells r="B3" val="791"/>
      <inputCells r="B4" val="819"/>
    </scenario>
    <scenario name="Case 2" locked="1" count="3" user="Darius's PC" comment="Created by Darius's PC on 31/03/2016">
      <inputCells r="B2" val="12"/>
      <inputCells r="B3" val="8"/>
      <inputCells r="B4" val="6"/>
    </scenario>
    <scenario name="Case 3" locked="1" count="3" user="Darius's PC" comment="Created by Darius's PC on 31/03/2016">
      <inputCells r="B2" val="11"/>
      <inputCells r="B3" val="7"/>
      <inputCells r="B4" val="5"/>
    </scenario>
  </scenario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Openmenu">
                <anchor moveWithCells="1" sizeWithCells="1">
                  <from>
                    <xdr:col>10</xdr:col>
                    <xdr:colOff>238125</xdr:colOff>
                    <xdr:row>0</xdr:row>
                    <xdr:rowOff>142875</xdr:rowOff>
                  </from>
                  <to>
                    <xdr:col>16</xdr:col>
                    <xdr:colOff>66675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autoFill="0" autoPict="0" macro="[0]!Printpage">
                <anchor moveWithCells="1">
                  <from>
                    <xdr:col>11</xdr:col>
                    <xdr:colOff>142875</xdr:colOff>
                    <xdr:row>7</xdr:row>
                    <xdr:rowOff>9525</xdr:rowOff>
                  </from>
                  <to>
                    <xdr:col>15</xdr:col>
                    <xdr:colOff>190500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ColWidth="8.85546875" defaultRowHeight="15" x14ac:dyDescent="0.25"/>
  <cols>
    <col min="1" max="1" width="17.140625" customWidth="1"/>
    <col min="2" max="2" width="11.85546875" customWidth="1"/>
  </cols>
  <sheetData>
    <row r="1" spans="1:2" x14ac:dyDescent="0.25">
      <c r="A1" s="38" t="s">
        <v>16</v>
      </c>
      <c r="B1" s="38" t="s">
        <v>29</v>
      </c>
    </row>
    <row r="2" spans="1:2" x14ac:dyDescent="0.25">
      <c r="A2" s="38" t="s">
        <v>20</v>
      </c>
      <c r="B2" s="38">
        <v>0.55000000000000004</v>
      </c>
    </row>
    <row r="3" spans="1:2" x14ac:dyDescent="0.25">
      <c r="A3" s="38" t="s">
        <v>21</v>
      </c>
      <c r="B3" s="38">
        <v>0.3</v>
      </c>
    </row>
    <row r="4" spans="1:2" x14ac:dyDescent="0.25">
      <c r="A4" s="38" t="s">
        <v>22</v>
      </c>
      <c r="B4" s="38">
        <v>0</v>
      </c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penmenu">
                <anchor moveWithCells="1" sizeWithCells="1">
                  <from>
                    <xdr:col>4</xdr:col>
                    <xdr:colOff>0</xdr:colOff>
                    <xdr:row>1</xdr:row>
                    <xdr:rowOff>114300</xdr:rowOff>
                  </from>
                  <to>
                    <xdr:col>9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autoFill="0" autoPict="0" macro="[0]!Printpage">
                <anchor moveWithCells="1">
                  <from>
                    <xdr:col>5</xdr:col>
                    <xdr:colOff>66675</xdr:colOff>
                    <xdr:row>8</xdr:row>
                    <xdr:rowOff>114300</xdr:rowOff>
                  </from>
                  <to>
                    <xdr:col>9</xdr:col>
                    <xdr:colOff>123825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workbookViewId="0"/>
  </sheetViews>
  <sheetFormatPr defaultColWidth="8.85546875" defaultRowHeight="15" x14ac:dyDescent="0.25"/>
  <cols>
    <col min="1" max="1" width="15" customWidth="1"/>
    <col min="2" max="2" width="15.85546875" customWidth="1"/>
  </cols>
  <sheetData>
    <row r="1" spans="1:3" x14ac:dyDescent="0.25">
      <c r="A1" s="38" t="s">
        <v>27</v>
      </c>
      <c r="B1" s="38" t="s">
        <v>26</v>
      </c>
      <c r="C1" s="38" t="s">
        <v>28</v>
      </c>
    </row>
    <row r="2" spans="1:3" x14ac:dyDescent="0.25">
      <c r="A2" s="39" t="s">
        <v>0</v>
      </c>
      <c r="B2" s="39" t="s">
        <v>23</v>
      </c>
      <c r="C2" s="39">
        <v>10</v>
      </c>
    </row>
    <row r="3" spans="1:3" x14ac:dyDescent="0.25">
      <c r="A3" s="39" t="s">
        <v>3</v>
      </c>
      <c r="B3" s="39" t="s">
        <v>24</v>
      </c>
      <c r="C3" s="39">
        <v>7</v>
      </c>
    </row>
    <row r="4" spans="1:3" x14ac:dyDescent="0.25">
      <c r="A4" s="39" t="s">
        <v>2</v>
      </c>
      <c r="B4" s="39" t="s">
        <v>25</v>
      </c>
      <c r="C4" s="39">
        <v>5</v>
      </c>
    </row>
    <row r="5" spans="1:3" x14ac:dyDescent="0.25">
      <c r="A5" s="1"/>
      <c r="B5" s="1"/>
    </row>
    <row r="6" spans="1:3" x14ac:dyDescent="0.25">
      <c r="A6" s="1"/>
      <c r="B6" s="1"/>
    </row>
    <row r="7" spans="1:3" x14ac:dyDescent="0.25">
      <c r="A7" s="1"/>
      <c r="B7" s="1"/>
    </row>
    <row r="8" spans="1:3" x14ac:dyDescent="0.25">
      <c r="A8" s="1"/>
      <c r="B8" s="1"/>
    </row>
    <row r="9" spans="1:3" x14ac:dyDescent="0.25">
      <c r="A9" s="1"/>
      <c r="B9" s="1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Openmenu">
                <anchor moveWithCells="1" sizeWithCells="1">
                  <from>
                    <xdr:col>3</xdr:col>
                    <xdr:colOff>276225</xdr:colOff>
                    <xdr:row>3</xdr:row>
                    <xdr:rowOff>28575</xdr:rowOff>
                  </from>
                  <to>
                    <xdr:col>9</xdr:col>
                    <xdr:colOff>104775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autoFill="0" autoPict="0" macro="[0]!Printpage">
                <anchor moveWithCells="1">
                  <from>
                    <xdr:col>4</xdr:col>
                    <xdr:colOff>295275</xdr:colOff>
                    <xdr:row>9</xdr:row>
                    <xdr:rowOff>47625</xdr:rowOff>
                  </from>
                  <to>
                    <xdr:col>8</xdr:col>
                    <xdr:colOff>352425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B8" sqref="B8"/>
    </sheetView>
  </sheetViews>
  <sheetFormatPr defaultColWidth="8.85546875" defaultRowHeight="15" x14ac:dyDescent="0.25"/>
  <cols>
    <col min="1" max="1" width="14" customWidth="1"/>
    <col min="2" max="2" width="13" customWidth="1"/>
  </cols>
  <sheetData>
    <row r="1" spans="1:2" ht="15.75" thickBot="1" x14ac:dyDescent="0.3">
      <c r="A1" s="40" t="s">
        <v>19</v>
      </c>
      <c r="B1" s="41" t="s">
        <v>15</v>
      </c>
    </row>
    <row r="2" spans="1:2" ht="15.75" thickBot="1" x14ac:dyDescent="0.3">
      <c r="A2" s="42" t="s">
        <v>7</v>
      </c>
      <c r="B2" s="43" t="s">
        <v>20</v>
      </c>
    </row>
    <row r="3" spans="1:2" ht="15.75" thickBot="1" x14ac:dyDescent="0.3">
      <c r="A3" s="42" t="s">
        <v>8</v>
      </c>
      <c r="B3" s="43" t="s">
        <v>20</v>
      </c>
    </row>
    <row r="4" spans="1:2" ht="15.75" thickBot="1" x14ac:dyDescent="0.3">
      <c r="A4" s="42" t="s">
        <v>1</v>
      </c>
      <c r="B4" s="43" t="s">
        <v>21</v>
      </c>
    </row>
    <row r="5" spans="1:2" ht="15.75" thickBot="1" x14ac:dyDescent="0.3">
      <c r="A5" s="42" t="s">
        <v>4</v>
      </c>
      <c r="B5" s="43" t="s">
        <v>21</v>
      </c>
    </row>
    <row r="6" spans="1:2" ht="15.75" thickBot="1" x14ac:dyDescent="0.3">
      <c r="A6" s="42" t="s">
        <v>6</v>
      </c>
      <c r="B6" s="43" t="s">
        <v>21</v>
      </c>
    </row>
    <row r="7" spans="1:2" ht="15.75" thickBot="1" x14ac:dyDescent="0.3">
      <c r="A7" s="42" t="s">
        <v>9</v>
      </c>
      <c r="B7" s="43" t="s">
        <v>21</v>
      </c>
    </row>
    <row r="8" spans="1:2" ht="15.75" thickBot="1" x14ac:dyDescent="0.3">
      <c r="A8" s="42" t="s">
        <v>5</v>
      </c>
      <c r="B8" s="43" t="s">
        <v>22</v>
      </c>
    </row>
    <row r="30" spans="4:4" x14ac:dyDescent="0.25">
      <c r="D30" s="20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penmenu">
                <anchor moveWithCells="1" sizeWithCells="1">
                  <from>
                    <xdr:col>3</xdr:col>
                    <xdr:colOff>266700</xdr:colOff>
                    <xdr:row>2</xdr:row>
                    <xdr:rowOff>38100</xdr:rowOff>
                  </from>
                  <to>
                    <xdr:col>9</xdr:col>
                    <xdr:colOff>104775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autoFill="0" autoPict="0" macro="[0]!Printpage">
                <anchor moveWithCells="1">
                  <from>
                    <xdr:col>4</xdr:col>
                    <xdr:colOff>457200</xdr:colOff>
                    <xdr:row>8</xdr:row>
                    <xdr:rowOff>76200</xdr:rowOff>
                  </from>
                  <to>
                    <xdr:col>8</xdr:col>
                    <xdr:colOff>523875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46"/>
  <sheetViews>
    <sheetView zoomScale="55" zoomScaleNormal="55" zoomScalePageLayoutView="55" workbookViewId="0">
      <selection activeCell="K29" sqref="K29"/>
    </sheetView>
  </sheetViews>
  <sheetFormatPr defaultColWidth="8.85546875" defaultRowHeight="15" x14ac:dyDescent="0.25"/>
  <cols>
    <col min="1" max="1" width="13.140625" customWidth="1"/>
    <col min="2" max="2" width="17.85546875" customWidth="1"/>
    <col min="3" max="3" width="24" customWidth="1"/>
    <col min="4" max="4" width="21.7109375" customWidth="1"/>
    <col min="5" max="5" width="22.7109375" customWidth="1"/>
    <col min="6" max="6" width="11.7109375" customWidth="1"/>
    <col min="7" max="7" width="15" customWidth="1"/>
    <col min="8" max="8" width="6.28515625" customWidth="1"/>
    <col min="9" max="9" width="22.42578125" customWidth="1"/>
    <col min="10" max="10" width="10.7109375" customWidth="1"/>
    <col min="11" max="11" width="10.42578125" customWidth="1"/>
    <col min="12" max="12" width="10" customWidth="1"/>
    <col min="13" max="13" width="28.28515625" customWidth="1"/>
    <col min="14" max="14" width="26.42578125" customWidth="1"/>
    <col min="15" max="15" width="20.85546875" customWidth="1"/>
    <col min="16" max="16" width="11.140625" customWidth="1"/>
    <col min="17" max="17" width="10.42578125" customWidth="1"/>
    <col min="18" max="18" width="10" customWidth="1"/>
    <col min="19" max="19" width="20.140625" customWidth="1"/>
    <col min="20" max="20" width="15.85546875" customWidth="1"/>
    <col min="21" max="21" width="9.28515625" customWidth="1"/>
    <col min="22" max="22" width="8.85546875" customWidth="1"/>
    <col min="23" max="23" width="16.140625" customWidth="1"/>
    <col min="24" max="24" width="11.7109375" customWidth="1"/>
    <col min="25" max="25" width="15" customWidth="1"/>
    <col min="26" max="26" width="10.42578125" customWidth="1"/>
    <col min="27" max="28" width="11" customWidth="1"/>
    <col min="29" max="29" width="11.140625" customWidth="1"/>
    <col min="30" max="30" width="8.140625" customWidth="1"/>
    <col min="31" max="31" width="9.140625" customWidth="1"/>
    <col min="32" max="35" width="9.42578125" customWidth="1"/>
    <col min="36" max="36" width="10.42578125" customWidth="1"/>
    <col min="37" max="38" width="10.140625" customWidth="1"/>
    <col min="39" max="43" width="10.42578125" customWidth="1"/>
    <col min="44" max="44" width="11.140625" customWidth="1"/>
    <col min="45" max="45" width="15" customWidth="1"/>
    <col min="46" max="46" width="7.28515625" customWidth="1"/>
    <col min="47" max="47" width="4.85546875" customWidth="1"/>
    <col min="48" max="49" width="3.28515625" customWidth="1"/>
    <col min="50" max="50" width="7.28515625" customWidth="1"/>
    <col min="51" max="51" width="4.85546875" customWidth="1"/>
    <col min="52" max="52" width="3.28515625" customWidth="1"/>
    <col min="53" max="53" width="7.28515625" customWidth="1"/>
    <col min="54" max="54" width="4.85546875" customWidth="1"/>
    <col min="55" max="55" width="7.28515625" customWidth="1"/>
    <col min="56" max="56" width="4.85546875" customWidth="1"/>
    <col min="57" max="57" width="3.28515625" customWidth="1"/>
    <col min="58" max="58" width="7.28515625" customWidth="1"/>
    <col min="59" max="59" width="5.85546875" customWidth="1"/>
    <col min="60" max="60" width="8.28515625" customWidth="1"/>
    <col min="61" max="61" width="5.85546875" customWidth="1"/>
    <col min="62" max="62" width="8.28515625" customWidth="1"/>
    <col min="63" max="63" width="5.85546875" customWidth="1"/>
    <col min="64" max="64" width="8.28515625" customWidth="1"/>
    <col min="65" max="65" width="11.28515625" bestFit="1" customWidth="1"/>
  </cols>
  <sheetData>
    <row r="1" spans="1:23" x14ac:dyDescent="0.25">
      <c r="A1" s="25" t="s">
        <v>51</v>
      </c>
      <c r="B1" t="s">
        <v>54</v>
      </c>
      <c r="C1" t="s">
        <v>55</v>
      </c>
      <c r="E1" s="25" t="s">
        <v>62</v>
      </c>
      <c r="F1" s="25" t="s">
        <v>58</v>
      </c>
      <c r="M1" s="25" t="s">
        <v>51</v>
      </c>
      <c r="N1" t="s">
        <v>56</v>
      </c>
      <c r="O1" t="s">
        <v>57</v>
      </c>
      <c r="S1" s="25" t="s">
        <v>87</v>
      </c>
      <c r="T1" s="25" t="s">
        <v>86</v>
      </c>
    </row>
    <row r="2" spans="1:23" x14ac:dyDescent="0.25">
      <c r="A2" s="26" t="s">
        <v>0</v>
      </c>
      <c r="B2" s="24">
        <v>761</v>
      </c>
      <c r="C2" s="27">
        <v>0.32096161956980179</v>
      </c>
      <c r="E2" s="25" t="s">
        <v>63</v>
      </c>
      <c r="F2" t="s">
        <v>0</v>
      </c>
      <c r="G2" t="s">
        <v>3</v>
      </c>
      <c r="H2" t="s">
        <v>2</v>
      </c>
      <c r="I2" t="s">
        <v>53</v>
      </c>
      <c r="M2" s="26" t="s">
        <v>0</v>
      </c>
      <c r="N2" s="28">
        <v>7610</v>
      </c>
      <c r="O2" s="27">
        <v>0.41959784645896175</v>
      </c>
      <c r="S2" s="25" t="s">
        <v>89</v>
      </c>
      <c r="T2" t="s">
        <v>0</v>
      </c>
      <c r="U2" t="s">
        <v>3</v>
      </c>
      <c r="V2" t="s">
        <v>2</v>
      </c>
      <c r="W2" t="s">
        <v>53</v>
      </c>
    </row>
    <row r="3" spans="1:23" x14ac:dyDescent="0.25">
      <c r="A3" s="26" t="s">
        <v>3</v>
      </c>
      <c r="B3" s="24">
        <v>791</v>
      </c>
      <c r="C3" s="27">
        <v>0.33361450864614089</v>
      </c>
      <c r="E3" s="26" t="s">
        <v>59</v>
      </c>
      <c r="F3" s="24">
        <v>210</v>
      </c>
      <c r="G3" s="24">
        <v>144</v>
      </c>
      <c r="H3" s="24">
        <v>268</v>
      </c>
      <c r="I3" s="24">
        <v>622</v>
      </c>
      <c r="M3" s="26" t="s">
        <v>3</v>
      </c>
      <c r="N3" s="28">
        <v>5537</v>
      </c>
      <c r="O3" s="27">
        <v>0.33195059523500486</v>
      </c>
      <c r="S3" s="47">
        <v>42248</v>
      </c>
      <c r="T3" s="24">
        <v>115</v>
      </c>
      <c r="U3" s="24">
        <v>74</v>
      </c>
      <c r="V3" s="24">
        <v>87</v>
      </c>
      <c r="W3" s="24">
        <v>276</v>
      </c>
    </row>
    <row r="4" spans="1:23" x14ac:dyDescent="0.25">
      <c r="A4" s="26" t="s">
        <v>2</v>
      </c>
      <c r="B4" s="24">
        <v>819</v>
      </c>
      <c r="C4" s="27">
        <v>0.34542387178405737</v>
      </c>
      <c r="E4" s="26" t="s">
        <v>60</v>
      </c>
      <c r="F4" s="24">
        <v>396</v>
      </c>
      <c r="G4" s="24">
        <v>156</v>
      </c>
      <c r="H4" s="24">
        <v>231</v>
      </c>
      <c r="I4" s="24">
        <v>783</v>
      </c>
      <c r="M4" s="26" t="s">
        <v>2</v>
      </c>
      <c r="N4" s="28">
        <v>4095</v>
      </c>
      <c r="O4" s="27">
        <v>0.24845155830603335</v>
      </c>
      <c r="S4" s="47">
        <v>42249</v>
      </c>
      <c r="T4" s="24">
        <v>2</v>
      </c>
      <c r="U4" s="24">
        <v>18</v>
      </c>
      <c r="V4" s="24">
        <v>100</v>
      </c>
      <c r="W4" s="24">
        <v>120</v>
      </c>
    </row>
    <row r="5" spans="1:23" x14ac:dyDescent="0.25">
      <c r="A5" s="26" t="s">
        <v>53</v>
      </c>
      <c r="B5" s="24">
        <v>2371</v>
      </c>
      <c r="C5" s="27">
        <v>1</v>
      </c>
      <c r="E5" s="26" t="s">
        <v>61</v>
      </c>
      <c r="F5" s="24">
        <v>155</v>
      </c>
      <c r="G5" s="24">
        <v>491</v>
      </c>
      <c r="H5" s="24">
        <v>320</v>
      </c>
      <c r="I5" s="24">
        <v>966</v>
      </c>
      <c r="M5" s="26" t="s">
        <v>53</v>
      </c>
      <c r="N5" s="28">
        <v>17242</v>
      </c>
      <c r="O5" s="27">
        <v>1</v>
      </c>
      <c r="S5" s="47">
        <v>42250</v>
      </c>
      <c r="T5" s="24">
        <v>93</v>
      </c>
      <c r="U5" s="24">
        <v>52</v>
      </c>
      <c r="V5" s="24">
        <v>81</v>
      </c>
      <c r="W5" s="24">
        <v>226</v>
      </c>
    </row>
    <row r="6" spans="1:23" x14ac:dyDescent="0.25">
      <c r="E6" s="26" t="s">
        <v>53</v>
      </c>
      <c r="F6" s="24">
        <v>761</v>
      </c>
      <c r="G6" s="24">
        <v>791</v>
      </c>
      <c r="H6" s="24">
        <v>819</v>
      </c>
      <c r="I6" s="24">
        <v>2371</v>
      </c>
      <c r="S6" s="47">
        <v>42278</v>
      </c>
      <c r="T6" s="24">
        <v>225</v>
      </c>
      <c r="U6" s="24">
        <v>74</v>
      </c>
      <c r="V6" s="24">
        <v>97</v>
      </c>
      <c r="W6" s="24">
        <v>396</v>
      </c>
    </row>
    <row r="7" spans="1:23" x14ac:dyDescent="0.25">
      <c r="S7" s="47">
        <v>42279</v>
      </c>
      <c r="T7" s="24">
        <v>28</v>
      </c>
      <c r="U7" s="24">
        <v>20</v>
      </c>
      <c r="V7" s="24">
        <v>92</v>
      </c>
      <c r="W7" s="24">
        <v>140</v>
      </c>
    </row>
    <row r="8" spans="1:23" x14ac:dyDescent="0.25">
      <c r="S8" s="47">
        <v>42280</v>
      </c>
      <c r="T8" s="24">
        <v>143</v>
      </c>
      <c r="U8" s="24">
        <v>62</v>
      </c>
      <c r="V8" s="24">
        <v>42</v>
      </c>
      <c r="W8" s="24">
        <v>247</v>
      </c>
    </row>
    <row r="9" spans="1:23" x14ac:dyDescent="0.25">
      <c r="S9" s="47">
        <v>42309</v>
      </c>
      <c r="T9" s="24">
        <v>69</v>
      </c>
      <c r="U9" s="24">
        <v>375</v>
      </c>
      <c r="V9" s="24">
        <v>93</v>
      </c>
      <c r="W9" s="24">
        <v>537</v>
      </c>
    </row>
    <row r="10" spans="1:23" x14ac:dyDescent="0.25">
      <c r="S10" s="47">
        <v>42310</v>
      </c>
      <c r="T10" s="24">
        <v>43</v>
      </c>
      <c r="U10" s="24">
        <v>38</v>
      </c>
      <c r="V10" s="24">
        <v>80</v>
      </c>
      <c r="W10" s="24">
        <v>161</v>
      </c>
    </row>
    <row r="11" spans="1:23" x14ac:dyDescent="0.25">
      <c r="S11" s="47">
        <v>42311</v>
      </c>
      <c r="T11" s="24">
        <v>43</v>
      </c>
      <c r="U11" s="24">
        <v>78</v>
      </c>
      <c r="V11" s="24">
        <v>147</v>
      </c>
      <c r="W11" s="24">
        <v>268</v>
      </c>
    </row>
    <row r="12" spans="1:23" x14ac:dyDescent="0.25">
      <c r="S12" s="47" t="s">
        <v>53</v>
      </c>
      <c r="T12" s="24">
        <v>761</v>
      </c>
      <c r="U12" s="24">
        <v>791</v>
      </c>
      <c r="V12" s="24">
        <v>819</v>
      </c>
      <c r="W12" s="24">
        <v>2371</v>
      </c>
    </row>
    <row r="23" spans="1:12" x14ac:dyDescent="0.25">
      <c r="L23" s="47"/>
    </row>
    <row r="24" spans="1:12" x14ac:dyDescent="0.25">
      <c r="L24" s="47"/>
    </row>
    <row r="25" spans="1:12" x14ac:dyDescent="0.25">
      <c r="L25" s="47"/>
    </row>
    <row r="31" spans="1:12" x14ac:dyDescent="0.25">
      <c r="A31" s="26"/>
    </row>
    <row r="32" spans="1:12" x14ac:dyDescent="0.25">
      <c r="A32" s="26"/>
      <c r="D32" s="24"/>
      <c r="E32" s="24"/>
    </row>
    <row r="33" spans="1:7" x14ac:dyDescent="0.25">
      <c r="A33" s="26"/>
      <c r="D33" s="24"/>
      <c r="E33" s="24"/>
    </row>
    <row r="34" spans="1:7" x14ac:dyDescent="0.25">
      <c r="A34" s="26"/>
    </row>
    <row r="35" spans="1:7" x14ac:dyDescent="0.25">
      <c r="A35" s="26"/>
      <c r="B35" s="26"/>
    </row>
    <row r="36" spans="1:7" x14ac:dyDescent="0.25">
      <c r="A36" s="26"/>
      <c r="B36" s="26"/>
    </row>
    <row r="37" spans="1:7" x14ac:dyDescent="0.25">
      <c r="A37" s="26"/>
      <c r="C37" s="25" t="s">
        <v>88</v>
      </c>
      <c r="D37" s="25" t="s">
        <v>51</v>
      </c>
    </row>
    <row r="38" spans="1:7" x14ac:dyDescent="0.25">
      <c r="A38" s="26"/>
      <c r="C38" s="25" t="s">
        <v>90</v>
      </c>
      <c r="D38" t="s">
        <v>0</v>
      </c>
      <c r="E38" t="s">
        <v>3</v>
      </c>
      <c r="F38" t="s">
        <v>2</v>
      </c>
      <c r="G38" t="s">
        <v>53</v>
      </c>
    </row>
    <row r="39" spans="1:7" x14ac:dyDescent="0.25">
      <c r="A39" s="26"/>
      <c r="B39" s="26"/>
      <c r="C39" s="26" t="s">
        <v>6</v>
      </c>
      <c r="D39" s="24"/>
      <c r="E39" s="24">
        <v>509.6</v>
      </c>
      <c r="F39" s="24">
        <v>549.5</v>
      </c>
      <c r="G39" s="24">
        <v>1059.0999999999999</v>
      </c>
    </row>
    <row r="40" spans="1:7" x14ac:dyDescent="0.25">
      <c r="A40" s="26"/>
      <c r="B40" s="26"/>
      <c r="C40" s="26" t="s">
        <v>1</v>
      </c>
      <c r="D40" s="24">
        <v>1085</v>
      </c>
      <c r="E40" s="24">
        <v>686</v>
      </c>
      <c r="F40" s="24">
        <v>497</v>
      </c>
      <c r="G40" s="24">
        <v>2268</v>
      </c>
    </row>
    <row r="41" spans="1:7" x14ac:dyDescent="0.25">
      <c r="B41" s="26"/>
      <c r="C41" s="26" t="s">
        <v>7</v>
      </c>
      <c r="D41" s="24">
        <v>2178</v>
      </c>
      <c r="E41" s="24">
        <v>1222.2</v>
      </c>
      <c r="F41" s="24">
        <v>348.74999999999994</v>
      </c>
      <c r="G41" s="24">
        <v>3748.95</v>
      </c>
    </row>
    <row r="42" spans="1:7" x14ac:dyDescent="0.25">
      <c r="B42" s="26"/>
      <c r="C42" s="26" t="s">
        <v>4</v>
      </c>
      <c r="D42" s="24">
        <v>322</v>
      </c>
      <c r="E42" s="24">
        <v>406.7</v>
      </c>
      <c r="F42" s="24">
        <v>315</v>
      </c>
      <c r="G42" s="24">
        <v>1043.7</v>
      </c>
    </row>
    <row r="43" spans="1:7" x14ac:dyDescent="0.25">
      <c r="B43" s="26"/>
      <c r="C43" s="26" t="s">
        <v>9</v>
      </c>
      <c r="D43" s="24">
        <v>196</v>
      </c>
      <c r="E43" s="24">
        <v>372.4</v>
      </c>
      <c r="F43" s="24">
        <v>140</v>
      </c>
      <c r="G43" s="24">
        <v>708.4</v>
      </c>
    </row>
    <row r="44" spans="1:7" x14ac:dyDescent="0.25">
      <c r="B44" s="26"/>
      <c r="C44" s="26" t="s">
        <v>8</v>
      </c>
      <c r="D44" s="24">
        <v>179.99999999999997</v>
      </c>
      <c r="E44" s="24"/>
      <c r="F44" s="24">
        <v>517.5</v>
      </c>
      <c r="G44" s="24">
        <v>697.5</v>
      </c>
    </row>
    <row r="45" spans="1:7" x14ac:dyDescent="0.25">
      <c r="C45" s="26" t="s">
        <v>5</v>
      </c>
      <c r="D45" s="24">
        <v>80</v>
      </c>
      <c r="E45" s="24"/>
      <c r="F45" s="24">
        <v>25</v>
      </c>
      <c r="G45" s="24">
        <v>105</v>
      </c>
    </row>
    <row r="46" spans="1:7" x14ac:dyDescent="0.25">
      <c r="C46" s="26" t="s">
        <v>53</v>
      </c>
      <c r="D46" s="24">
        <v>4041</v>
      </c>
      <c r="E46" s="24">
        <v>3196.9</v>
      </c>
      <c r="F46" s="24">
        <v>2392.75</v>
      </c>
      <c r="G46" s="24">
        <v>9630.65</v>
      </c>
    </row>
  </sheetData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9" name="Button 1">
              <controlPr defaultSize="0" print="0" autoFill="0" autoPict="0" macro="[0]!Openmenu">
                <anchor moveWithCells="1" sizeWithCells="1">
                  <from>
                    <xdr:col>11</xdr:col>
                    <xdr:colOff>409575</xdr:colOff>
                    <xdr:row>19</xdr:row>
                    <xdr:rowOff>142875</xdr:rowOff>
                  </from>
                  <to>
                    <xdr:col>13</xdr:col>
                    <xdr:colOff>561975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10" name="Button 2">
              <controlPr defaultSize="0" autoFill="0" autoPict="0" macro="[0]!Printpage">
                <anchor moveWithCells="1">
                  <from>
                    <xdr:col>11</xdr:col>
                    <xdr:colOff>485775</xdr:colOff>
                    <xdr:row>25</xdr:row>
                    <xdr:rowOff>85725</xdr:rowOff>
                  </from>
                  <to>
                    <xdr:col>13</xdr:col>
                    <xdr:colOff>295275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48"/>
  <sheetViews>
    <sheetView zoomScale="80" zoomScaleNormal="80" zoomScalePageLayoutView="80" workbookViewId="0">
      <selection activeCell="Q30" sqref="Q30"/>
    </sheetView>
  </sheetViews>
  <sheetFormatPr defaultColWidth="8.85546875" defaultRowHeight="15" x14ac:dyDescent="0.25"/>
  <cols>
    <col min="2" max="2" width="9.7109375" customWidth="1"/>
    <col min="10" max="10" width="11.28515625" customWidth="1"/>
    <col min="11" max="11" width="13.140625" customWidth="1"/>
    <col min="12" max="12" width="12.140625" hidden="1" customWidth="1"/>
    <col min="13" max="13" width="10.28515625" hidden="1" customWidth="1"/>
    <col min="14" max="14" width="11" hidden="1" customWidth="1"/>
    <col min="15" max="15" width="11.7109375" customWidth="1"/>
  </cols>
  <sheetData>
    <row r="1" spans="1:13" ht="30" x14ac:dyDescent="0.4">
      <c r="A1" s="48" t="s">
        <v>64</v>
      </c>
      <c r="B1" s="49"/>
      <c r="C1" s="49"/>
      <c r="D1" s="49"/>
      <c r="E1" s="50"/>
      <c r="F1" s="51"/>
      <c r="G1" s="51"/>
      <c r="H1" s="51"/>
      <c r="I1" s="51"/>
      <c r="J1" s="51"/>
      <c r="K1" s="52" t="s">
        <v>65</v>
      </c>
    </row>
    <row r="2" spans="1:13" ht="30" x14ac:dyDescent="0.4">
      <c r="A2" s="53" t="s">
        <v>66</v>
      </c>
      <c r="B2" s="54"/>
      <c r="C2" s="54"/>
      <c r="D2" s="54"/>
      <c r="E2" s="55"/>
      <c r="F2" s="51"/>
      <c r="G2" s="51"/>
      <c r="H2" s="51"/>
      <c r="I2" s="51"/>
      <c r="J2" s="51"/>
      <c r="K2" s="56"/>
    </row>
    <row r="3" spans="1:13" ht="30" x14ac:dyDescent="0.25">
      <c r="A3" s="57"/>
      <c r="B3" s="54"/>
      <c r="C3" s="54"/>
      <c r="D3" s="54"/>
      <c r="E3" s="55"/>
      <c r="F3" s="58"/>
      <c r="G3" s="58"/>
      <c r="H3" s="58"/>
      <c r="I3" s="58"/>
      <c r="J3" s="59"/>
      <c r="K3" s="59"/>
    </row>
    <row r="4" spans="1:13" ht="15.75" x14ac:dyDescent="0.25">
      <c r="A4" s="165"/>
      <c r="B4" s="166"/>
      <c r="C4" s="166"/>
      <c r="D4" s="167"/>
      <c r="E4" s="60"/>
      <c r="F4" s="60"/>
      <c r="G4" s="60"/>
      <c r="H4" s="61" t="s">
        <v>67</v>
      </c>
      <c r="I4" s="62"/>
      <c r="J4" s="168">
        <f ca="1">TODAY()</f>
        <v>42543</v>
      </c>
      <c r="K4" s="169"/>
    </row>
    <row r="5" spans="1:13" x14ac:dyDescent="0.25">
      <c r="A5" s="170"/>
      <c r="B5" s="171"/>
      <c r="C5" s="171"/>
      <c r="D5" s="172"/>
      <c r="E5" s="60"/>
      <c r="F5" s="60"/>
      <c r="G5" s="60"/>
      <c r="H5" s="61" t="s">
        <v>68</v>
      </c>
      <c r="I5" s="62"/>
      <c r="J5" s="157">
        <v>1004</v>
      </c>
      <c r="K5" s="158"/>
      <c r="L5" t="s">
        <v>85</v>
      </c>
      <c r="M5">
        <f>MATCH($J$5,Sales!B:B,0)</f>
        <v>8</v>
      </c>
    </row>
    <row r="6" spans="1:13" x14ac:dyDescent="0.25">
      <c r="A6" s="63"/>
      <c r="B6" s="63"/>
      <c r="C6" s="63"/>
      <c r="D6" s="63"/>
      <c r="E6" s="60"/>
      <c r="F6" s="60"/>
      <c r="G6" s="60"/>
      <c r="H6" s="61" t="s">
        <v>69</v>
      </c>
      <c r="I6" s="64"/>
      <c r="J6" s="157" t="str">
        <f>VLOOKUP(J5,Sales!B:H,2)</f>
        <v>Ballams</v>
      </c>
      <c r="K6" s="158"/>
    </row>
    <row r="7" spans="1:13" x14ac:dyDescent="0.25">
      <c r="A7" s="63"/>
      <c r="B7" s="63"/>
      <c r="C7" s="63"/>
      <c r="D7" s="63"/>
      <c r="E7" s="60"/>
      <c r="F7" s="60"/>
      <c r="G7" s="60"/>
      <c r="H7" s="62"/>
      <c r="I7" s="97"/>
      <c r="J7" s="157" t="str">
        <f>VLOOKUP(J5,Sales!B:H,3)</f>
        <v>Retailer</v>
      </c>
      <c r="K7" s="158"/>
    </row>
    <row r="8" spans="1:13" x14ac:dyDescent="0.25">
      <c r="A8" s="63"/>
      <c r="B8" s="63"/>
      <c r="C8" s="63"/>
      <c r="D8" s="63"/>
      <c r="E8" s="60"/>
      <c r="F8" s="60"/>
      <c r="G8" s="60"/>
      <c r="H8" s="62"/>
      <c r="I8" s="97"/>
      <c r="J8" s="157"/>
      <c r="K8" s="158"/>
    </row>
    <row r="9" spans="1:13" x14ac:dyDescent="0.25">
      <c r="A9" s="65"/>
      <c r="B9" s="65"/>
      <c r="C9" s="65"/>
      <c r="D9" s="65"/>
      <c r="E9" s="66"/>
      <c r="F9" s="66"/>
      <c r="G9" s="66"/>
      <c r="H9" s="67"/>
      <c r="I9" s="68"/>
      <c r="J9" s="68"/>
      <c r="K9" s="68"/>
    </row>
    <row r="10" spans="1:13" x14ac:dyDescent="0.25">
      <c r="A10" s="159" t="s">
        <v>70</v>
      </c>
      <c r="B10" s="160"/>
      <c r="C10" s="160"/>
      <c r="D10" s="161"/>
      <c r="E10" s="60"/>
      <c r="F10" s="60"/>
      <c r="G10" s="60"/>
      <c r="H10" s="162"/>
      <c r="I10" s="163"/>
      <c r="J10" s="163"/>
      <c r="K10" s="164"/>
    </row>
    <row r="11" spans="1:13" x14ac:dyDescent="0.25">
      <c r="A11" s="154" t="s">
        <v>71</v>
      </c>
      <c r="B11" s="155"/>
      <c r="C11" s="155"/>
      <c r="D11" s="156"/>
      <c r="E11" s="69"/>
      <c r="F11" s="69"/>
      <c r="G11" s="69"/>
      <c r="H11" s="154"/>
      <c r="I11" s="155"/>
      <c r="J11" s="155"/>
      <c r="K11" s="156"/>
    </row>
    <row r="12" spans="1:13" x14ac:dyDescent="0.25">
      <c r="A12" s="154" t="s">
        <v>72</v>
      </c>
      <c r="B12" s="155"/>
      <c r="C12" s="155"/>
      <c r="D12" s="156"/>
      <c r="E12" s="69"/>
      <c r="F12" s="69"/>
      <c r="G12" s="69"/>
      <c r="H12" s="154"/>
      <c r="I12" s="155"/>
      <c r="J12" s="155"/>
      <c r="K12" s="156"/>
    </row>
    <row r="13" spans="1:13" x14ac:dyDescent="0.25">
      <c r="A13" s="154" t="s">
        <v>73</v>
      </c>
      <c r="B13" s="155"/>
      <c r="C13" s="155"/>
      <c r="D13" s="156"/>
      <c r="E13" s="69"/>
      <c r="F13" s="69"/>
      <c r="G13" s="69"/>
      <c r="H13" s="154"/>
      <c r="I13" s="155"/>
      <c r="J13" s="155"/>
      <c r="K13" s="156"/>
    </row>
    <row r="14" spans="1:13" x14ac:dyDescent="0.25">
      <c r="A14" s="154" t="s">
        <v>74</v>
      </c>
      <c r="B14" s="155"/>
      <c r="C14" s="155"/>
      <c r="D14" s="156"/>
      <c r="E14" s="69"/>
      <c r="F14" s="69"/>
      <c r="G14" s="69"/>
      <c r="H14" s="154"/>
      <c r="I14" s="155"/>
      <c r="J14" s="155"/>
      <c r="K14" s="156"/>
    </row>
    <row r="15" spans="1:13" x14ac:dyDescent="0.25">
      <c r="A15" s="154" t="s">
        <v>75</v>
      </c>
      <c r="B15" s="155"/>
      <c r="C15" s="155"/>
      <c r="D15" s="156"/>
      <c r="E15" s="69"/>
      <c r="F15" s="69"/>
      <c r="G15" s="69"/>
      <c r="H15" s="154"/>
      <c r="I15" s="155"/>
      <c r="J15" s="155"/>
      <c r="K15" s="156"/>
    </row>
    <row r="16" spans="1:13" x14ac:dyDescent="0.25">
      <c r="A16" s="70"/>
      <c r="B16" s="70"/>
      <c r="C16" s="70"/>
      <c r="D16" s="70"/>
      <c r="E16" s="71"/>
      <c r="F16" s="71"/>
      <c r="G16" s="71"/>
      <c r="H16" s="71"/>
      <c r="I16" s="71"/>
      <c r="J16" s="71"/>
      <c r="K16" s="71"/>
    </row>
    <row r="17" spans="1:11" x14ac:dyDescent="0.25">
      <c r="A17" s="142" t="s">
        <v>11</v>
      </c>
      <c r="B17" s="143"/>
      <c r="C17" s="72" t="s">
        <v>76</v>
      </c>
      <c r="D17" s="73"/>
      <c r="E17" s="73"/>
      <c r="F17" s="73"/>
      <c r="G17" s="73"/>
      <c r="H17" s="144" t="s">
        <v>10</v>
      </c>
      <c r="I17" s="143"/>
      <c r="J17" s="142" t="s">
        <v>77</v>
      </c>
      <c r="K17" s="143"/>
    </row>
    <row r="18" spans="1:11" x14ac:dyDescent="0.25">
      <c r="A18" s="145" t="str">
        <f>INDEX(Sales!A:H,Invoice!$M$5,5)</f>
        <v>A2</v>
      </c>
      <c r="B18" s="146"/>
      <c r="C18" s="147" t="str">
        <f>VLOOKUP(A18,Product_table,2)</f>
        <v>Standard Edition</v>
      </c>
      <c r="D18" s="148"/>
      <c r="E18" s="148"/>
      <c r="F18" s="148"/>
      <c r="G18" s="149"/>
      <c r="H18" s="150">
        <f>INDEX(Sales!A:H,$M$5,6)</f>
        <v>30</v>
      </c>
      <c r="I18" s="151"/>
      <c r="J18" s="152">
        <f>INDEX(Sales!C:J,$M$5,5)</f>
        <v>210</v>
      </c>
      <c r="K18" s="153"/>
    </row>
    <row r="19" spans="1:11" x14ac:dyDescent="0.25">
      <c r="A19" s="124" t="str">
        <f>IF(INDEX(Sales!A:H,Invoice!$M$5+1,2)=Invoice!J5,INDEX(Sales!A:H,Invoice!$M$5+1,5),"")</f>
        <v>A3</v>
      </c>
      <c r="B19" s="125"/>
      <c r="C19" s="126" t="str">
        <f>VLOOKUP(A19,Product_table,2)</f>
        <v>Economy Edition</v>
      </c>
      <c r="D19" s="127"/>
      <c r="E19" s="127"/>
      <c r="F19" s="127"/>
      <c r="G19" s="128"/>
      <c r="H19" s="138">
        <f>IF(INDEX(Sales!A:H,Invoice!$M$5+1,2)=Invoice!J5,INDEX(Sales!A:H,Invoice!$M$5+1,6),"")</f>
        <v>30</v>
      </c>
      <c r="I19" s="139"/>
      <c r="J19" s="140">
        <f>IF(INDEX(Sales!A:H,Invoice!$M$5+1,2)=Invoice!J5,INDEX(Sales!A:H,Invoice!$M$5+1,7),"")</f>
        <v>150</v>
      </c>
      <c r="K19" s="141"/>
    </row>
    <row r="20" spans="1:11" x14ac:dyDescent="0.25">
      <c r="A20" s="124"/>
      <c r="B20" s="125"/>
      <c r="C20" s="126"/>
      <c r="D20" s="127"/>
      <c r="E20" s="127"/>
      <c r="F20" s="127"/>
      <c r="G20" s="128"/>
      <c r="H20" s="138"/>
      <c r="I20" s="139"/>
      <c r="J20" s="136"/>
      <c r="K20" s="137"/>
    </row>
    <row r="21" spans="1:11" x14ac:dyDescent="0.25">
      <c r="A21" s="124"/>
      <c r="B21" s="125"/>
      <c r="C21" s="126"/>
      <c r="D21" s="127"/>
      <c r="E21" s="127"/>
      <c r="F21" s="127"/>
      <c r="G21" s="128"/>
      <c r="H21" s="138"/>
      <c r="I21" s="139"/>
      <c r="J21" s="136"/>
      <c r="K21" s="137"/>
    </row>
    <row r="22" spans="1:11" x14ac:dyDescent="0.25">
      <c r="A22" s="124"/>
      <c r="B22" s="125"/>
      <c r="C22" s="126"/>
      <c r="D22" s="127"/>
      <c r="E22" s="127"/>
      <c r="F22" s="127"/>
      <c r="G22" s="128"/>
      <c r="H22" s="138"/>
      <c r="I22" s="139"/>
      <c r="J22" s="136"/>
      <c r="K22" s="137"/>
    </row>
    <row r="23" spans="1:11" x14ac:dyDescent="0.25">
      <c r="A23" s="124"/>
      <c r="B23" s="125"/>
      <c r="C23" s="126"/>
      <c r="D23" s="127"/>
      <c r="E23" s="127"/>
      <c r="F23" s="127"/>
      <c r="G23" s="128"/>
      <c r="H23" s="138"/>
      <c r="I23" s="139"/>
      <c r="J23" s="136"/>
      <c r="K23" s="137"/>
    </row>
    <row r="24" spans="1:11" x14ac:dyDescent="0.25">
      <c r="A24" s="124"/>
      <c r="B24" s="125"/>
      <c r="C24" s="126"/>
      <c r="D24" s="127"/>
      <c r="E24" s="127"/>
      <c r="F24" s="127"/>
      <c r="G24" s="128"/>
      <c r="H24" s="138"/>
      <c r="I24" s="139"/>
      <c r="J24" s="136"/>
      <c r="K24" s="137"/>
    </row>
    <row r="25" spans="1:11" x14ac:dyDescent="0.25">
      <c r="A25" s="124"/>
      <c r="B25" s="125"/>
      <c r="C25" s="126"/>
      <c r="D25" s="127"/>
      <c r="E25" s="127"/>
      <c r="F25" s="127"/>
      <c r="G25" s="128"/>
      <c r="H25" s="138"/>
      <c r="I25" s="139"/>
      <c r="J25" s="136"/>
      <c r="K25" s="137"/>
    </row>
    <row r="26" spans="1:11" x14ac:dyDescent="0.25">
      <c r="A26" s="124"/>
      <c r="B26" s="125"/>
      <c r="C26" s="126"/>
      <c r="D26" s="127"/>
      <c r="E26" s="127"/>
      <c r="F26" s="127"/>
      <c r="G26" s="128"/>
      <c r="H26" s="129"/>
      <c r="I26" s="130"/>
      <c r="J26" s="136"/>
      <c r="K26" s="137"/>
    </row>
    <row r="27" spans="1:11" x14ac:dyDescent="0.25">
      <c r="A27" s="124"/>
      <c r="B27" s="125"/>
      <c r="C27" s="126"/>
      <c r="D27" s="127"/>
      <c r="E27" s="127"/>
      <c r="F27" s="127"/>
      <c r="G27" s="128"/>
      <c r="H27" s="129"/>
      <c r="I27" s="130"/>
      <c r="J27" s="136"/>
      <c r="K27" s="137"/>
    </row>
    <row r="28" spans="1:11" x14ac:dyDescent="0.25">
      <c r="A28" s="124"/>
      <c r="B28" s="125"/>
      <c r="C28" s="126"/>
      <c r="D28" s="127"/>
      <c r="E28" s="127"/>
      <c r="F28" s="127"/>
      <c r="G28" s="128"/>
      <c r="H28" s="129"/>
      <c r="I28" s="130"/>
      <c r="J28" s="136"/>
      <c r="K28" s="137"/>
    </row>
    <row r="29" spans="1:11" x14ac:dyDescent="0.25">
      <c r="A29" s="124"/>
      <c r="B29" s="125"/>
      <c r="C29" s="126"/>
      <c r="D29" s="127"/>
      <c r="E29" s="127"/>
      <c r="F29" s="127"/>
      <c r="G29" s="128"/>
      <c r="H29" s="129"/>
      <c r="I29" s="130"/>
      <c r="J29" s="136"/>
      <c r="K29" s="137"/>
    </row>
    <row r="30" spans="1:11" x14ac:dyDescent="0.25">
      <c r="A30" s="124"/>
      <c r="B30" s="125"/>
      <c r="C30" s="126"/>
      <c r="D30" s="127"/>
      <c r="E30" s="127"/>
      <c r="F30" s="127"/>
      <c r="G30" s="128"/>
      <c r="H30" s="129"/>
      <c r="I30" s="130"/>
      <c r="J30" s="136"/>
      <c r="K30" s="137"/>
    </row>
    <row r="31" spans="1:11" x14ac:dyDescent="0.25">
      <c r="A31" s="124"/>
      <c r="B31" s="125"/>
      <c r="C31" s="126"/>
      <c r="D31" s="127"/>
      <c r="E31" s="127"/>
      <c r="F31" s="127"/>
      <c r="G31" s="128"/>
      <c r="H31" s="129"/>
      <c r="I31" s="130"/>
      <c r="J31" s="136"/>
      <c r="K31" s="137"/>
    </row>
    <row r="32" spans="1:11" x14ac:dyDescent="0.25">
      <c r="A32" s="124"/>
      <c r="B32" s="125"/>
      <c r="C32" s="126"/>
      <c r="D32" s="127"/>
      <c r="E32" s="127"/>
      <c r="F32" s="127"/>
      <c r="G32" s="128"/>
      <c r="H32" s="129"/>
      <c r="I32" s="130"/>
      <c r="J32" s="136"/>
      <c r="K32" s="137"/>
    </row>
    <row r="33" spans="1:11" x14ac:dyDescent="0.25">
      <c r="A33" s="124"/>
      <c r="B33" s="125"/>
      <c r="C33" s="126"/>
      <c r="D33" s="127"/>
      <c r="E33" s="127"/>
      <c r="F33" s="127"/>
      <c r="G33" s="128"/>
      <c r="H33" s="129"/>
      <c r="I33" s="130"/>
      <c r="J33" s="129"/>
      <c r="K33" s="130"/>
    </row>
    <row r="34" spans="1:11" x14ac:dyDescent="0.25">
      <c r="A34" s="124"/>
      <c r="B34" s="125"/>
      <c r="C34" s="131"/>
      <c r="D34" s="132"/>
      <c r="E34" s="132"/>
      <c r="F34" s="132"/>
      <c r="G34" s="133"/>
      <c r="H34" s="134"/>
      <c r="I34" s="135"/>
      <c r="J34" s="134"/>
      <c r="K34" s="135"/>
    </row>
    <row r="35" spans="1:11" x14ac:dyDescent="0.25">
      <c r="A35" s="74"/>
      <c r="B35" s="75"/>
      <c r="C35" s="76"/>
      <c r="D35" s="76"/>
      <c r="E35" s="76"/>
      <c r="F35" s="76"/>
      <c r="G35" s="76"/>
      <c r="H35" s="66"/>
      <c r="I35" s="66"/>
      <c r="J35" s="77"/>
      <c r="K35" s="77"/>
    </row>
    <row r="36" spans="1:11" x14ac:dyDescent="0.25">
      <c r="A36" s="113" t="s">
        <v>78</v>
      </c>
      <c r="B36" s="114"/>
      <c r="C36" s="114"/>
      <c r="D36" s="114"/>
      <c r="E36" s="114"/>
      <c r="F36" s="114"/>
      <c r="G36" s="115"/>
      <c r="H36" s="78"/>
      <c r="I36" s="79" t="s">
        <v>79</v>
      </c>
      <c r="J36" s="80" t="s">
        <v>80</v>
      </c>
      <c r="K36" s="81">
        <f>SUM($J$18:$J$34)</f>
        <v>360</v>
      </c>
    </row>
    <row r="37" spans="1:11" x14ac:dyDescent="0.25">
      <c r="A37" s="116"/>
      <c r="B37" s="117"/>
      <c r="C37" s="117"/>
      <c r="D37" s="117"/>
      <c r="E37" s="117"/>
      <c r="F37" s="117"/>
      <c r="G37" s="118"/>
      <c r="H37" s="78"/>
      <c r="I37" s="82" t="s">
        <v>29</v>
      </c>
      <c r="J37" s="119">
        <f>VLOOKUP(J7,Discount!$A:$B,2,FALSE)</f>
        <v>0.3</v>
      </c>
      <c r="K37" s="120"/>
    </row>
    <row r="38" spans="1:11" x14ac:dyDescent="0.25">
      <c r="A38" s="121"/>
      <c r="B38" s="122"/>
      <c r="C38" s="122"/>
      <c r="D38" s="122"/>
      <c r="E38" s="122"/>
      <c r="F38" s="122"/>
      <c r="G38" s="123"/>
      <c r="H38" s="78"/>
      <c r="I38" s="82" t="s">
        <v>81</v>
      </c>
      <c r="J38" s="83" t="s">
        <v>80</v>
      </c>
      <c r="K38" s="84">
        <f>K36-$K$36*$J$37</f>
        <v>252</v>
      </c>
    </row>
    <row r="39" spans="1:11" x14ac:dyDescent="0.25">
      <c r="A39" s="121"/>
      <c r="B39" s="122"/>
      <c r="C39" s="122"/>
      <c r="D39" s="122"/>
      <c r="E39" s="122"/>
      <c r="F39" s="122"/>
      <c r="G39" s="123"/>
      <c r="H39" s="78"/>
      <c r="I39" s="85" t="s">
        <v>82</v>
      </c>
      <c r="J39" s="86">
        <v>0.2</v>
      </c>
      <c r="K39" s="87">
        <f>K38*J39</f>
        <v>50.400000000000006</v>
      </c>
    </row>
    <row r="40" spans="1:11" x14ac:dyDescent="0.25">
      <c r="A40" s="121"/>
      <c r="B40" s="122"/>
      <c r="C40" s="122"/>
      <c r="D40" s="122"/>
      <c r="E40" s="122"/>
      <c r="F40" s="122"/>
      <c r="G40" s="123"/>
      <c r="H40" s="78"/>
      <c r="I40" s="82"/>
      <c r="J40" s="88"/>
      <c r="K40" s="87"/>
    </row>
    <row r="41" spans="1:11" x14ac:dyDescent="0.25">
      <c r="A41" s="98"/>
      <c r="B41" s="99"/>
      <c r="C41" s="99"/>
      <c r="D41" s="99"/>
      <c r="E41" s="99"/>
      <c r="F41" s="99"/>
      <c r="G41" s="100"/>
      <c r="H41" s="78"/>
      <c r="I41" s="89" t="s">
        <v>37</v>
      </c>
      <c r="J41" s="90" t="s">
        <v>80</v>
      </c>
      <c r="K41" s="91">
        <f>SUM(K38:K39)</f>
        <v>302.39999999999998</v>
      </c>
    </row>
    <row r="42" spans="1:11" x14ac:dyDescent="0.25">
      <c r="A42" s="92"/>
      <c r="B42" s="92"/>
      <c r="C42" s="92"/>
      <c r="D42" s="68"/>
      <c r="E42" s="93"/>
      <c r="F42" s="94"/>
      <c r="G42" s="93"/>
      <c r="H42" s="66"/>
      <c r="I42" s="66"/>
      <c r="J42" s="66"/>
      <c r="K42" s="66"/>
    </row>
    <row r="43" spans="1:11" x14ac:dyDescent="0.25">
      <c r="A43" s="101" t="str">
        <f>"Make all checks payable to "&amp; $A$1</f>
        <v>Make all checks payable to Atlas Publications</v>
      </c>
      <c r="B43" s="102"/>
      <c r="C43" s="102"/>
      <c r="D43" s="102"/>
      <c r="E43" s="102"/>
      <c r="F43" s="102"/>
      <c r="G43" s="102"/>
      <c r="H43" s="102"/>
      <c r="I43" s="102"/>
      <c r="J43" s="102"/>
      <c r="K43" s="103"/>
    </row>
    <row r="44" spans="1:11" x14ac:dyDescent="0.25">
      <c r="A44" s="66"/>
      <c r="B44" s="95"/>
      <c r="C44" s="95"/>
      <c r="D44" s="95"/>
      <c r="E44" s="95"/>
      <c r="F44" s="95"/>
      <c r="G44" s="95"/>
      <c r="H44" s="95"/>
      <c r="I44" s="95"/>
      <c r="J44" s="95"/>
      <c r="K44" s="95"/>
    </row>
    <row r="45" spans="1:11" ht="15.75" x14ac:dyDescent="0.25">
      <c r="A45" s="104" t="s">
        <v>83</v>
      </c>
      <c r="B45" s="105"/>
      <c r="C45" s="105"/>
      <c r="D45" s="105"/>
      <c r="E45" s="105"/>
      <c r="F45" s="105"/>
      <c r="G45" s="105"/>
      <c r="H45" s="105"/>
      <c r="I45" s="105"/>
      <c r="J45" s="105"/>
      <c r="K45" s="106"/>
    </row>
    <row r="46" spans="1:11" x14ac:dyDescent="0.25">
      <c r="A46" s="96"/>
      <c r="B46" s="96"/>
      <c r="C46" s="96"/>
      <c r="D46" s="96"/>
      <c r="E46" s="96"/>
      <c r="F46" s="96"/>
      <c r="G46" s="96"/>
      <c r="H46" s="96"/>
      <c r="I46" s="96"/>
      <c r="J46" s="96"/>
      <c r="K46" s="96"/>
    </row>
    <row r="47" spans="1:11" x14ac:dyDescent="0.25">
      <c r="A47" s="107" t="s">
        <v>84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09"/>
    </row>
    <row r="48" spans="1:11" x14ac:dyDescent="0.25">
      <c r="A48" s="110"/>
      <c r="B48" s="111"/>
      <c r="C48" s="111"/>
      <c r="D48" s="111"/>
      <c r="E48" s="111"/>
      <c r="F48" s="111"/>
      <c r="G48" s="111"/>
      <c r="H48" s="111"/>
      <c r="I48" s="111"/>
      <c r="J48" s="111"/>
      <c r="K48" s="112"/>
    </row>
  </sheetData>
  <mergeCells count="101">
    <mergeCell ref="J8:K8"/>
    <mergeCell ref="A10:D10"/>
    <mergeCell ref="H10:K10"/>
    <mergeCell ref="A11:D11"/>
    <mergeCell ref="H11:K11"/>
    <mergeCell ref="A12:D12"/>
    <mergeCell ref="H12:K12"/>
    <mergeCell ref="A4:D4"/>
    <mergeCell ref="J4:K4"/>
    <mergeCell ref="A5:D5"/>
    <mergeCell ref="J5:K5"/>
    <mergeCell ref="J6:K6"/>
    <mergeCell ref="J7:K7"/>
    <mergeCell ref="A17:B17"/>
    <mergeCell ref="H17:I17"/>
    <mergeCell ref="J17:K17"/>
    <mergeCell ref="A18:B18"/>
    <mergeCell ref="C18:G18"/>
    <mergeCell ref="H18:I18"/>
    <mergeCell ref="J18:K18"/>
    <mergeCell ref="A13:D13"/>
    <mergeCell ref="H13:K13"/>
    <mergeCell ref="A14:D14"/>
    <mergeCell ref="H14:K14"/>
    <mergeCell ref="A15:D15"/>
    <mergeCell ref="H15:K15"/>
    <mergeCell ref="A21:B21"/>
    <mergeCell ref="C21:G21"/>
    <mergeCell ref="H21:I21"/>
    <mergeCell ref="J21:K21"/>
    <mergeCell ref="A22:B22"/>
    <mergeCell ref="C22:G22"/>
    <mergeCell ref="H22:I22"/>
    <mergeCell ref="J22:K22"/>
    <mergeCell ref="A19:B19"/>
    <mergeCell ref="C19:G19"/>
    <mergeCell ref="H19:I19"/>
    <mergeCell ref="J19:K19"/>
    <mergeCell ref="A20:B20"/>
    <mergeCell ref="C20:G20"/>
    <mergeCell ref="H20:I20"/>
    <mergeCell ref="J20:K20"/>
    <mergeCell ref="A25:B25"/>
    <mergeCell ref="C25:G25"/>
    <mergeCell ref="H25:I25"/>
    <mergeCell ref="J25:K25"/>
    <mergeCell ref="A26:B26"/>
    <mergeCell ref="C26:G26"/>
    <mergeCell ref="H26:I26"/>
    <mergeCell ref="J26:K26"/>
    <mergeCell ref="A23:B23"/>
    <mergeCell ref="C23:G23"/>
    <mergeCell ref="H23:I23"/>
    <mergeCell ref="J23:K23"/>
    <mergeCell ref="A24:B24"/>
    <mergeCell ref="C24:G24"/>
    <mergeCell ref="H24:I24"/>
    <mergeCell ref="J24:K24"/>
    <mergeCell ref="A29:B29"/>
    <mergeCell ref="C29:G29"/>
    <mergeCell ref="H29:I29"/>
    <mergeCell ref="J29:K29"/>
    <mergeCell ref="A30:B30"/>
    <mergeCell ref="C30:G30"/>
    <mergeCell ref="H30:I30"/>
    <mergeCell ref="J30:K30"/>
    <mergeCell ref="A27:B27"/>
    <mergeCell ref="C27:G27"/>
    <mergeCell ref="H27:I27"/>
    <mergeCell ref="J27:K27"/>
    <mergeCell ref="A28:B28"/>
    <mergeCell ref="C28:G28"/>
    <mergeCell ref="H28:I28"/>
    <mergeCell ref="J28:K28"/>
    <mergeCell ref="A33:B33"/>
    <mergeCell ref="C33:G33"/>
    <mergeCell ref="H33:I33"/>
    <mergeCell ref="J33:K33"/>
    <mergeCell ref="A34:B34"/>
    <mergeCell ref="C34:G34"/>
    <mergeCell ref="H34:I34"/>
    <mergeCell ref="J34:K34"/>
    <mergeCell ref="A31:B31"/>
    <mergeCell ref="C31:G31"/>
    <mergeCell ref="H31:I31"/>
    <mergeCell ref="J31:K31"/>
    <mergeCell ref="A32:B32"/>
    <mergeCell ref="C32:G32"/>
    <mergeCell ref="H32:I32"/>
    <mergeCell ref="J32:K32"/>
    <mergeCell ref="A41:G41"/>
    <mergeCell ref="A43:K43"/>
    <mergeCell ref="A45:K45"/>
    <mergeCell ref="A47:K47"/>
    <mergeCell ref="A48:K48"/>
    <mergeCell ref="A36:G36"/>
    <mergeCell ref="A37:G37"/>
    <mergeCell ref="J37:K37"/>
    <mergeCell ref="A38:G38"/>
    <mergeCell ref="A39:G39"/>
    <mergeCell ref="A40:G40"/>
  </mergeCells>
  <conditionalFormatting sqref="A48:K48">
    <cfRule type="expression" dxfId="23" priority="14" stopIfTrue="1">
      <formula>IF($L$2="No Color",TRUE,FALSE)</formula>
    </cfRule>
    <cfRule type="expression" dxfId="22" priority="15" stopIfTrue="1">
      <formula>IF($L$2="Red",TRUE,FALSE)</formula>
    </cfRule>
    <cfRule type="expression" dxfId="21" priority="16" stopIfTrue="1">
      <formula>IF($L$2="Green",TRUE,FALSE)</formula>
    </cfRule>
  </conditionalFormatting>
  <conditionalFormatting sqref="A36:G36 A10:D10 H10:K10 A17 C17:H17">
    <cfRule type="expression" dxfId="20" priority="17" stopIfTrue="1">
      <formula>IF($L$2="No Color",TRUE,FALSE)</formula>
    </cfRule>
    <cfRule type="expression" dxfId="19" priority="18" stopIfTrue="1">
      <formula>IF($L$2="Red",TRUE,FALSE)</formula>
    </cfRule>
    <cfRule type="expression" dxfId="18" priority="19" stopIfTrue="1">
      <formula>IF($L$2="Green",TRUE,FALSE)</formula>
    </cfRule>
  </conditionalFormatting>
  <conditionalFormatting sqref="J20:J34 A18 A25:A34">
    <cfRule type="expression" dxfId="17" priority="20" stopIfTrue="1">
      <formula>MOD(ROW(),2)=1</formula>
    </cfRule>
  </conditionalFormatting>
  <conditionalFormatting sqref="J17:K17">
    <cfRule type="expression" dxfId="16" priority="21" stopIfTrue="1">
      <formula>IF($L$2="No Color",TRUE,FALSE)</formula>
    </cfRule>
    <cfRule type="expression" dxfId="15" priority="22" stopIfTrue="1">
      <formula>IF($L$2="Red",TRUE,FALSE)</formula>
    </cfRule>
    <cfRule type="expression" dxfId="14" priority="23" stopIfTrue="1">
      <formula>IF($L$2="Green",TRUE,FALSE)</formula>
    </cfRule>
  </conditionalFormatting>
  <conditionalFormatting sqref="K2">
    <cfRule type="expression" dxfId="13" priority="11" stopIfTrue="1">
      <formula>IF(#REF!="No Color",TRUE,FALSE)</formula>
    </cfRule>
    <cfRule type="expression" dxfId="12" priority="12" stopIfTrue="1">
      <formula>IF(#REF!="Red",TRUE,FALSE)</formula>
    </cfRule>
    <cfRule type="expression" dxfId="11" priority="13" stopIfTrue="1">
      <formula>IF(#REF!="Green",TRUE,FALSE)</formula>
    </cfRule>
  </conditionalFormatting>
  <conditionalFormatting sqref="K1">
    <cfRule type="expression" dxfId="10" priority="24" stopIfTrue="1">
      <formula>IF($L$2="No Color",TRUE,FALSE)</formula>
    </cfRule>
    <cfRule type="expression" dxfId="9" priority="25" stopIfTrue="1">
      <formula>IF($L$2="Red",TRUE,FALSE)</formula>
    </cfRule>
    <cfRule type="expression" dxfId="8" priority="26" stopIfTrue="1">
      <formula>IF($L$2="Green",TRUE,FALSE)</formula>
    </cfRule>
  </conditionalFormatting>
  <conditionalFormatting sqref="H20:H33">
    <cfRule type="expression" dxfId="7" priority="10" stopIfTrue="1">
      <formula>MOD(ROW(),2)=1</formula>
    </cfRule>
  </conditionalFormatting>
  <conditionalFormatting sqref="H34">
    <cfRule type="expression" dxfId="6" priority="9" stopIfTrue="1">
      <formula>MOD(ROW(),2)=1</formula>
    </cfRule>
  </conditionalFormatting>
  <conditionalFormatting sqref="C18:C19">
    <cfRule type="expression" dxfId="5" priority="8" stopIfTrue="1">
      <formula>MOD(ROW(),2)=1</formula>
    </cfRule>
  </conditionalFormatting>
  <conditionalFormatting sqref="C20:C33">
    <cfRule type="expression" dxfId="4" priority="7" stopIfTrue="1">
      <formula>MOD(ROW(),2)=1</formula>
    </cfRule>
  </conditionalFormatting>
  <conditionalFormatting sqref="C34">
    <cfRule type="expression" dxfId="3" priority="6" stopIfTrue="1">
      <formula>MOD(ROW(),2)=1</formula>
    </cfRule>
  </conditionalFormatting>
  <conditionalFormatting sqref="H18:H19 J18:J19">
    <cfRule type="expression" dxfId="2" priority="5" stopIfTrue="1">
      <formula>MOD(ROW(),2)=1</formula>
    </cfRule>
  </conditionalFormatting>
  <conditionalFormatting sqref="A19:A21">
    <cfRule type="expression" dxfId="1" priority="4" stopIfTrue="1">
      <formula>MOD(ROW(),2)=1</formula>
    </cfRule>
  </conditionalFormatting>
  <conditionalFormatting sqref="A22:A24">
    <cfRule type="expression" dxfId="0" priority="1" stopIfTrue="1">
      <formula>MOD(ROW(),2)=1</formula>
    </cfRule>
  </conditionalFormatting>
  <dataValidations count="3">
    <dataValidation showInputMessage="1" showErrorMessage="1" prompt="Enter the invoice number" sqref="J5:K5"/>
    <dataValidation allowBlank="1" showInputMessage="1" showErrorMessage="1" prompt="Enter the invoice date, currently using =TODAY() to display today's date automatically" sqref="J4:K4"/>
    <dataValidation allowBlank="1" showInputMessage="1" showErrorMessage="1" prompt="Enter the amounts in these cells._x000a_Amounts can also be entered in the cells by using simple formula, such as =4*10 when needed" sqref="J20:K33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menu">
                <anchor moveWithCells="1" sizeWithCells="1">
                  <from>
                    <xdr:col>13</xdr:col>
                    <xdr:colOff>447675</xdr:colOff>
                    <xdr:row>8</xdr:row>
                    <xdr:rowOff>104775</xdr:rowOff>
                  </from>
                  <to>
                    <xdr:col>19</xdr:col>
                    <xdr:colOff>152400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Printpage">
                <anchor moveWithCells="1" sizeWithCells="1">
                  <from>
                    <xdr:col>14</xdr:col>
                    <xdr:colOff>333375</xdr:colOff>
                    <xdr:row>16</xdr:row>
                    <xdr:rowOff>66675</xdr:rowOff>
                  </from>
                  <to>
                    <xdr:col>19</xdr:col>
                    <xdr:colOff>561975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Menu</vt:lpstr>
      <vt:lpstr>Sales old</vt:lpstr>
      <vt:lpstr>Sales</vt:lpstr>
      <vt:lpstr>Scenario Summary</vt:lpstr>
      <vt:lpstr>Summary</vt:lpstr>
      <vt:lpstr>Discount</vt:lpstr>
      <vt:lpstr>Products</vt:lpstr>
      <vt:lpstr>Customer</vt:lpstr>
      <vt:lpstr>Tables and Graphs</vt:lpstr>
      <vt:lpstr>Invoice</vt:lpstr>
      <vt:lpstr>Sales!Criteria</vt:lpstr>
      <vt:lpstr>Customer</vt:lpstr>
      <vt:lpstr>Customer_lookup</vt:lpstr>
      <vt:lpstr>Customer_seller</vt:lpstr>
      <vt:lpstr>Customer_type</vt:lpstr>
      <vt:lpstr>Discounts_Lookup_Table</vt:lpstr>
      <vt:lpstr>Invoice_Date</vt:lpstr>
      <vt:lpstr>Invoice_Number</vt:lpstr>
      <vt:lpstr>Product</vt:lpstr>
      <vt:lpstr>Product_table</vt:lpstr>
      <vt:lpstr>Products_Lookup_Table</vt:lpstr>
      <vt:lpstr>Quantity</vt:lpstr>
      <vt:lpstr>Retail_Price</vt:lpstr>
      <vt:lpstr>Sales_Price</vt:lpstr>
    </vt:vector>
  </TitlesOfParts>
  <Company>West Suffolk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Saenz de Villaverde</dc:creator>
  <cp:lastModifiedBy>Darius Richardson55</cp:lastModifiedBy>
  <cp:lastPrinted>2016-05-23T14:02:23Z</cp:lastPrinted>
  <dcterms:created xsi:type="dcterms:W3CDTF">2016-03-14T01:48:31Z</dcterms:created>
  <dcterms:modified xsi:type="dcterms:W3CDTF">2016-06-22T15:02:12Z</dcterms:modified>
</cp:coreProperties>
</file>